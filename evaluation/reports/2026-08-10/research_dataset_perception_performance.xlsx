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CODEBOOK" sheetId="2" state="visible" r:id="rId2"/>
    <sheet xmlns:r="http://schemas.openxmlformats.org/officeDocument/2006/relationships" name="02_PARTICIPANTS" sheetId="3" state="visible" r:id="rId3"/>
    <sheet xmlns:r="http://schemas.openxmlformats.org/officeDocument/2006/relationships" name="03_OBSERVATIONS" sheetId="4" state="visible" r:id="rId4"/>
    <sheet xmlns:r="http://schemas.openxmlformats.org/officeDocument/2006/relationships" name="04_ASQ_RESPONSES" sheetId="5" state="visible" r:id="rId5"/>
    <sheet xmlns:r="http://schemas.openxmlformats.org/officeDocument/2006/relationships" name="05_TASK_PERFORMANCE" sheetId="6" state="visible" r:id="rId6"/>
    <sheet xmlns:r="http://schemas.openxmlformats.org/officeDocument/2006/relationships" name="06_SYSTEM_METRICS" sheetId="7" state="visible" r:id="rId7"/>
    <sheet xmlns:r="http://schemas.openxmlformats.org/officeDocument/2006/relationships" name="07_CITATION_EVALUATION" sheetId="8" state="visible" r:id="rId8"/>
    <sheet xmlns:r="http://schemas.openxmlformats.org/officeDocument/2006/relationships" name="08_MERGED_ANALYSIS" sheetId="9" state="visible" r:id="rId9"/>
    <sheet xmlns:r="http://schemas.openxmlformats.org/officeDocument/2006/relationships" name="09_STATISTICAL_SUMMARY" sheetId="10" state="visible" r:id="rId10"/>
    <sheet xmlns:r="http://schemas.openxmlformats.org/officeDocument/2006/relationships" name="10_DATA_QUA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FFFFFFFF"/>
      <sz val="10"/>
    </font>
    <font>
      <i val="1"/>
      <sz val="8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FF1F3B3C"/>
        <bgColor rgb="FF1F3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bl_01_codebook" displayName="tbl_01_codebook" ref="A1:J78" headerRowCount="1">
  <autoFilter ref="A1:J78"/>
  <tableColumns count="10">
    <tableColumn id="1" name="variable_name"/>
    <tableColumn id="2" name="sheet"/>
    <tableColumn id="3" name="data_type"/>
    <tableColumn id="4" name="description"/>
    <tableColumn id="5" name="unit"/>
    <tableColumn id="6" name="allowed_value"/>
    <tableColumn id="7" name="missing_rule"/>
    <tableColumn id="8" name="analysis_role"/>
    <tableColumn id="9" name="source"/>
    <tableColumn id="10" name="is_formula"/>
  </tableColumns>
  <tableStyleInfo name="TableStyleMedium2" showRowStripes="1"/>
</table>
</file>

<file path=xl/tables/table2.xml><?xml version="1.0" encoding="utf-8"?>
<table xmlns="http://schemas.openxmlformats.org/spreadsheetml/2006/main" id="2" name="tbl_02_participants" displayName="tbl_02_participants" ref="A1:G23" headerRowCount="1">
  <autoFilter ref="A1:G23"/>
  <tableColumns count="7">
    <tableColumn id="1" name="participant_id"/>
    <tableColumn id="2" name="participant_code"/>
    <tableColumn id="3" name="participant_group"/>
    <tableColumn id="4" name="completed_s1"/>
    <tableColumn id="5" name="completed_s2"/>
    <tableColumn id="6" name="total_observations"/>
    <tableColumn id="7" name="notes"/>
  </tableColumns>
  <tableStyleInfo name="TableStyleMedium2" showRowStripes="1"/>
</table>
</file>

<file path=xl/tables/table3.xml><?xml version="1.0" encoding="utf-8"?>
<table xmlns="http://schemas.openxmlformats.org/spreadsheetml/2006/main" id="3" name="tbl_03_observations" displayName="tbl_03_observations" ref="A1:M44" headerRowCount="1">
  <autoFilter ref="A1:M44"/>
  <tableColumns count="13">
    <tableColumn id="1" name="observation_id"/>
    <tableColumn id="2" name="participant_id"/>
    <tableColumn id="3" name="scenario_id"/>
    <tableColumn id="4" name="scenario_order"/>
    <tableColumn id="5" name="session_id"/>
    <tableColumn id="6" name="timestamp_start"/>
    <tableColumn id="7" name="timestamp_end"/>
    <tableColumn id="8" name="query_text"/>
    <tableColumn id="9" name="response_id"/>
    <tableColumn id="10" name="task_status"/>
    <tableColumn id="11" name="data_source"/>
    <tableColumn id="12" name="missing_flag"/>
    <tableColumn id="13" name="missing_reason"/>
  </tableColumns>
  <tableStyleInfo name="TableStyleMedium2" showRowStripes="1"/>
</table>
</file>

<file path=xl/tables/table4.xml><?xml version="1.0" encoding="utf-8"?>
<table xmlns="http://schemas.openxmlformats.org/spreadsheetml/2006/main" id="4" name="tbl_04_asq" displayName="tbl_04_asq" ref="A1:I44" headerRowCount="1">
  <autoFilter ref="A1:I44"/>
  <tableColumns count="9">
    <tableColumn id="1" name="observation_id"/>
    <tableColumn id="2" name="participant_id"/>
    <tableColumn id="3" name="scenario_id"/>
    <tableColumn id="4" name="asq_q1_ease"/>
    <tableColumn id="5" name="asq_q2_time"/>
    <tableColumn id="6" name="asq_q3_information_support"/>
    <tableColumn id="7" name="asq_mean"/>
    <tableColumn id="8" name="asq_complete"/>
    <tableColumn id="9" name="asq_notes"/>
  </tableColumns>
  <tableStyleInfo name="TableStyleMedium2" showRowStripes="1"/>
</table>
</file>

<file path=xl/tables/table5.xml><?xml version="1.0" encoding="utf-8"?>
<table xmlns="http://schemas.openxmlformats.org/spreadsheetml/2006/main" id="5" name="tbl_05_task_performance" displayName="tbl_05_task_performance" ref="A1:I44" headerRowCount="1">
  <autoFilter ref="A1:I44"/>
  <tableColumns count="9">
    <tableColumn id="1" name="observation_id"/>
    <tableColumn id="2" name="participant_id"/>
    <tableColumn id="3" name="scenario_id"/>
    <tableColumn id="4" name="task_success"/>
    <tableColumn id="5" name="task_status"/>
    <tableColumn id="6" name="completion_time_sec"/>
    <tableColumn id="7" name="completion_time_source"/>
    <tableColumn id="8" name="success_evidence"/>
    <tableColumn id="9" name="evaluator_notes"/>
  </tableColumns>
  <tableStyleInfo name="TableStyleMedium2" showRowStripes="1"/>
</table>
</file>

<file path=xl/tables/table6.xml><?xml version="1.0" encoding="utf-8"?>
<table xmlns="http://schemas.openxmlformats.org/spreadsheetml/2006/main" id="6" name="tbl_06_system_metrics" displayName="tbl_06_system_metrics" ref="A1:N44" headerRowCount="1">
  <autoFilter ref="A1:N44"/>
  <tableColumns count="14">
    <tableColumn id="1" name="observation_id"/>
    <tableColumn id="2" name="participant_id"/>
    <tableColumn id="3" name="scenario_id"/>
    <tableColumn id="4" name="latency_ms"/>
    <tableColumn id="5" name="retrieval_latency_ms"/>
    <tableColumn id="6" name="llm_latency_ms"/>
    <tableColumn id="7" name="retrieved_chunks"/>
    <tableColumn id="8" name="graph_nodes_retrieved"/>
    <tableColumn id="9" name="graph_relationships"/>
    <tableColumn id="10" name="token_input"/>
    <tableColumn id="11" name="token_output"/>
    <tableColumn id="12" name="model_name"/>
    <tableColumn id="13" name="request_status"/>
    <tableColumn id="14" name="missing_reason"/>
  </tableColumns>
  <tableStyleInfo name="TableStyleMedium2" showRowStripes="1"/>
</table>
</file>

<file path=xl/tables/table7.xml><?xml version="1.0" encoding="utf-8"?>
<table xmlns="http://schemas.openxmlformats.org/spreadsheetml/2006/main" id="7" name="tbl_07_citation" displayName="tbl_07_citation" ref="A1:H44" headerRowCount="1">
  <autoFilter ref="A1:H44"/>
  <tableColumns count="8">
    <tableColumn id="1" name="observation_id"/>
    <tableColumn id="2" name="participant_id"/>
    <tableColumn id="3" name="scenario_id"/>
    <tableColumn id="4" name="n_citations"/>
    <tableColumn id="5" name="n_valid_citations"/>
    <tableColumn id="6" name="has_correct_citation"/>
    <tableColumn id="7" name="citation_evaluation_method"/>
    <tableColumn id="8" name="evaluator_notes"/>
  </tableColumns>
  <tableStyleInfo name="TableStyleMedium2" showRowStripes="1"/>
</table>
</file>

<file path=xl/tables/table8.xml><?xml version="1.0" encoding="utf-8"?>
<table xmlns="http://schemas.openxmlformats.org/spreadsheetml/2006/main" id="8" name="tbl_08_merged" displayName="tbl_08_merged" ref="A1:O44" headerRowCount="1">
  <autoFilter ref="A1:O44"/>
  <tableColumns count="15">
    <tableColumn id="1" name="observation_id"/>
    <tableColumn id="2" name="participant_id"/>
    <tableColumn id="3" name="scenario_id"/>
    <tableColumn id="4" name="asq_q1_ease"/>
    <tableColumn id="5" name="asq_q2_time"/>
    <tableColumn id="6" name="asq_q3_information_support"/>
    <tableColumn id="7" name="asq_mean"/>
    <tableColumn id="8" name="task_success"/>
    <tableColumn id="9" name="task_status"/>
    <tableColumn id="10" name="completion_time_sec"/>
    <tableColumn id="11" name="latency_ms"/>
    <tableColumn id="12" name="has_correct_citation"/>
    <tableColumn id="13" name="complete_case_asq"/>
    <tableColumn id="14" name="complete_case_performance"/>
    <tableColumn id="15" name="paired_scenario_available"/>
  </tableColumns>
  <tableStyleInfo name="TableStyleMedium2" showRowStripes="1"/>
</table>
</file>

<file path=xl/tables/table9.xml><?xml version="1.0" encoding="utf-8"?>
<table xmlns="http://schemas.openxmlformats.org/spreadsheetml/2006/main" id="9" name="tbl_10_data_quality" displayName="tbl_10_data_quality" ref="A1:D13" headerRowCount="1">
  <autoFilter ref="A1:D13"/>
  <tableColumns count="4">
    <tableColumn id="1" name="check_name"/>
    <tableColumn id="2" name="status"/>
    <tableColumn id="3" name="affected_rows"/>
    <tableColumn id="4" name="descrip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Master Research Dataset -- Perceived Usability vs Objective Task Performance</t>
        </is>
      </c>
    </row>
    <row r="3">
      <c r="A3" s="2" t="inlineStr">
        <is>
          <t>Title</t>
        </is>
      </c>
      <c r="B3" s="3" t="inlineStr">
        <is>
          <t>Evaluating the Alignment Between Perceived Usability and Objective Task Performance in a GraphRAG-Based Campus Virtual Assistant</t>
        </is>
      </c>
    </row>
    <row r="4">
      <c r="A4" s="2" t="inlineStr">
        <is>
          <t>Purpose of this dataset</t>
        </is>
      </c>
      <c r="B4" s="3" t="inlineStr">
        <is>
          <t>Master, reusable observation-level dataset joining the human ASQ usability study to objective production task-performance, latency, and citation-correctness records, for direct statistical analysis in Excel, Python, R, or SPSS.</t>
        </is>
      </c>
    </row>
    <row r="5">
      <c r="A5" s="2" t="inlineStr">
        <is>
          <t>Dataset build date</t>
        </is>
      </c>
      <c r="B5" s="3" t="inlineStr">
        <is>
          <t>2026-08-10</t>
        </is>
      </c>
    </row>
    <row r="6">
      <c r="A6" s="2" t="inlineStr">
        <is>
          <t>Data sources</t>
        </is>
      </c>
      <c r="B6" s="3" t="inlineStr">
        <is>
          <t>Sole source: campus-va/evaluation/reports/2026-08-02/raw_joined_by_scenario.csv -- an already-anonymized (R01-R22, no PII), already-validated join of the 2026-07-16 human ASQ study (evaluation/reports/2026-07-16/sus_asq_final/) to production chat_evaluation_logs/citation_evaluation_logs via trace_id. See evaluation/reports/2026-08-02/README.md for the original build methodology and evaluation/scripts/build_asq_scenario_excel_2026-08-02.py for the reused statistical functions.</t>
        </is>
      </c>
    </row>
    <row r="7">
      <c r="A7" s="2" t="inlineStr">
        <is>
          <t>Reconstruction method</t>
        </is>
      </c>
      <c r="B7" s="3" t="inlineStr">
        <is>
          <t>This workbook independently re-derives every statistic from the same source CSV using the same computational methods as the already-published 2026-08-02 report (functions ported verbatim, see build_research_dataset_excel_2026-08-10.py), then compares the recomputed values against that report and against the numbers explicitly reported in the paper (sheet 09_STATISTICAL_SUMMARY, reconciliation table). No respondent, score, or statistic in this workbook was invented, adjusted, or back-fit to match a target number.</t>
        </is>
      </c>
    </row>
    <row r="8">
      <c r="A8" s="2" t="inlineStr">
        <is>
          <t>n participants</t>
        </is>
      </c>
      <c r="B8" s="3" t="inlineStr">
        <is>
          <t>22</t>
        </is>
      </c>
    </row>
    <row r="9">
      <c r="A9" s="2" t="inlineStr">
        <is>
          <t>n observations</t>
        </is>
      </c>
      <c r="B9" s="3" t="inlineStr">
        <is>
          <t>43</t>
        </is>
      </c>
    </row>
    <row r="10">
      <c r="A10" s="2" t="inlineStr">
        <is>
          <t>n scenarios</t>
        </is>
      </c>
      <c r="B10" s="3" t="inlineStr">
        <is>
          <t>2 (S1 = normal campus/registration questions, S2 = difficult/ambiguous/manipulative questions)</t>
        </is>
      </c>
    </row>
    <row r="11">
      <c r="A11" s="2" t="inlineStr">
        <is>
          <t>Why 43, not 44 (22x2)</t>
        </is>
      </c>
      <c r="B11" s="3" t="inlineStr">
        <is>
          <t>One participant (P016) has only an S1 observation -- no S2 row exists in the source data. This is a genuine gap in the original study, not an artifact of this reconstruction; see 10_DATA_QUALITY and 02_PARTICIPANTS.</t>
        </is>
      </c>
    </row>
    <row r="12">
      <c r="A12" s="2" t="inlineStr">
        <is>
          <t>Meaning of NA</t>
        </is>
      </c>
      <c r="B12" s="3" t="inlineStr">
        <is>
          <t>NA denotes a field that is genuinely unavailable in the traceable source data (e.g. scrubbed for privacy, or never captured at this grain). Every NA has an accompanying missing_reason. No NA was estimated or imputed.</t>
        </is>
      </c>
    </row>
    <row r="13">
      <c r="A13" s="2" t="inlineStr">
        <is>
          <t>SUS data (out of scope)</t>
        </is>
      </c>
      <c r="B13" s="3" t="inlineStr">
        <is>
          <t>A related instrument, the System Usability Scale (SUS, 21 respondents, mean 69.05/100), was also collected in this project but is out of scope for this ASQ-focused paper and is deliberately excluded from this workbook. See evaluation/reports/2026-07-16/sus_asq_final/ if needed later.</t>
        </is>
      </c>
    </row>
    <row r="14">
      <c r="A14" s="2" t="inlineStr">
        <is>
          <t>Citation-correctness scope warning</t>
        </is>
      </c>
      <c r="B14" s="3" t="inlineStr">
        <is>
          <t>This dataset's citation-correctness figures (07_CITATION_EVALUATION, 08, 09) are per-observation values tied to the 22 real participants. A separate, unrelated 41-question automated gold-QA benchmark also reports a citation-correct rate (39.0%) -- that is a DIFFERENT instrument, not tied to these participants, and is not merged into this dataset's figures anywhere.</t>
        </is>
      </c>
    </row>
    <row r="15">
      <c r="A15" s="2" t="inlineStr">
        <is>
          <t>Formula vs. value policy</t>
        </is>
      </c>
      <c r="B15" s="3" t="inlineStr">
        <is>
          <t>04_ASQ_RESPONSES.asq_mean, all cross-sheet joins in 08_MERGED_ANALYSIS, and most of 09/10 use live Excel formulas (AVERAGE/COUNTIFS/VAR.S/CORREL/T.DIST.2T/CONFIDENCE.T/INDEX/MATCH) that recalculate automatically when this file is opened in Excel/LibreOffice/Google Sheets. Two statistics in 09_STATISTICAL_SUMMARY -- Spearman rho/p and the Wilcoxon signed-rank test -- are computed once in Python (scipy, same method as the source report) and written as fixed values, because Excel has no native exact Wilcoxon function and a hand-built approximation risks disagreeing with the standard method for reasons unrelated to the data. See 01_CODEBOOK's is_formula column for the authoritative per-variable answer.</t>
        </is>
      </c>
    </row>
    <row r="16">
      <c r="A16" s="2" t="inlineStr">
        <is>
          <t>Primary key / foreign key map</t>
        </is>
      </c>
      <c r="B16" s="3" t="inlineStr">
        <is>
          <t>02_PARTICIPANTS.participant_id (PK) &lt;- referenced by 03-08.participant_id (FK). 03_OBSERVATIONS.observation_id (PK) &lt;- referenced by 04-08.observation_id (FK). 03_OBSERVATIONS is the row-order anchor for 04-07 (identical 43-row order); 08_MERGED_ANALYSIS joins via INDEX/MATCH on observation_id, not row-order assumption.</t>
        </is>
      </c>
    </row>
    <row r="17">
      <c r="A17" s="2" t="inlineStr">
        <is>
          <t>Sheets in this workbook</t>
        </is>
      </c>
      <c r="B17" s="3" t="inlineStr">
        <is>
          <t>00_README, 01_CODEBOOK, 02_PARTICIPANTS, 03_OBSERVATIONS, 04_ASQ_RESPONSES, 05_TASK_PERFORMANCE, 06_SYSTEM_METRICS, 07_CITATION_EVALUATION, 08_MERGED_ANALYSIS, 09_STATISTICAL_SUMMARY, 10_DATA_QUALITY</t>
        </is>
      </c>
    </row>
    <row r="18">
      <c r="A18" s="2" t="inlineStr">
        <is>
          <t>Data integrity statement</t>
        </is>
      </c>
      <c r="B18" s="3" t="inlineStr">
        <is>
          <t>Dataset ini disusun dari data eksperimen, log sistem, dan hasil evaluasi yang tersedia. Missing values tidak diimputasi kecuali dinyatakan secara eksplisit. No respondent, score, or statistic was fabricated to match a reported paper value; see the reconciliation table in 09_STATISTICAL_SUMMARY and dataset_reconstruction_report.md for an explicit comparison.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45" customWidth="1" min="4" max="4"/>
    <col width="1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</cols>
  <sheetData>
    <row r="1">
      <c r="A1" s="4" t="inlineStr">
        <is>
          <t>variable_name</t>
        </is>
      </c>
      <c r="B1" s="4" t="inlineStr">
        <is>
          <t>sheet</t>
        </is>
      </c>
      <c r="C1" s="4" t="inlineStr">
        <is>
          <t>data_type</t>
        </is>
      </c>
      <c r="D1" s="4" t="inlineStr">
        <is>
          <t>description</t>
        </is>
      </c>
      <c r="E1" s="4" t="inlineStr">
        <is>
          <t>unit</t>
        </is>
      </c>
      <c r="F1" s="4" t="inlineStr">
        <is>
          <t>allowed_value</t>
        </is>
      </c>
      <c r="G1" s="4" t="inlineStr">
        <is>
          <t>missing_rule</t>
        </is>
      </c>
      <c r="H1" s="4" t="inlineStr">
        <is>
          <t>analysis_role</t>
        </is>
      </c>
      <c r="I1" s="4" t="inlineStr">
        <is>
          <t>source</t>
        </is>
      </c>
      <c r="J1" s="4" t="inlineStr">
        <is>
          <t>is_formula</t>
        </is>
      </c>
    </row>
    <row r="2">
      <c r="A2" t="inlineStr">
        <is>
          <t>participant_id</t>
        </is>
      </c>
      <c r="B2" t="inlineStr">
        <is>
          <t>02_PARTICIPANTS</t>
        </is>
      </c>
      <c r="C2" t="inlineStr">
        <is>
          <t>string</t>
        </is>
      </c>
      <c r="D2" t="inlineStr">
        <is>
          <t>Anonymous participant identifier</t>
        </is>
      </c>
      <c r="E2" t="inlineStr"/>
      <c r="F2" t="inlineStr">
        <is>
          <t>P001-P022</t>
        </is>
      </c>
      <c r="G2" t="inlineStr"/>
      <c r="H2" t="inlineStr">
        <is>
          <t>primary key</t>
        </is>
      </c>
      <c r="I2" t="inlineStr">
        <is>
          <t>derived: R0x (2026-08-02 linkage) -&gt; P0xx by numeric suffix</t>
        </is>
      </c>
      <c r="J2" t="inlineStr">
        <is>
          <t>N</t>
        </is>
      </c>
    </row>
    <row r="3">
      <c r="A3" t="inlineStr">
        <is>
          <t>participant_code</t>
        </is>
      </c>
      <c r="B3" t="inlineStr">
        <is>
          <t>02_PARTICIPANTS</t>
        </is>
      </c>
      <c r="C3" t="inlineStr">
        <is>
          <t>string</t>
        </is>
      </c>
      <c r="D3" t="inlineStr">
        <is>
          <t>Alias of participant_id; no separate real code retained</t>
        </is>
      </c>
      <c r="E3" t="inlineStr"/>
      <c r="F3" t="inlineStr"/>
      <c r="G3" t="inlineStr"/>
      <c r="H3" t="inlineStr">
        <is>
          <t>identifier</t>
        </is>
      </c>
      <c r="I3" t="inlineStr">
        <is>
          <t>formula: same as participant_id</t>
        </is>
      </c>
      <c r="J3" t="inlineStr">
        <is>
          <t>Y</t>
        </is>
      </c>
    </row>
    <row r="4">
      <c r="A4" t="inlineStr">
        <is>
          <t>participant_group</t>
        </is>
      </c>
      <c r="B4" t="inlineStr">
        <is>
          <t>02_PARTICIPANTS</t>
        </is>
      </c>
      <c r="C4" t="inlineStr">
        <is>
          <t>string</t>
        </is>
      </c>
      <c r="D4" t="inlineStr">
        <is>
          <t>Participant category (student/prospective student/staff)</t>
        </is>
      </c>
      <c r="E4" t="inlineStr"/>
      <c r="F4" t="inlineStr">
        <is>
          <t>NA</t>
        </is>
      </c>
      <c r="G4" t="inlineStr">
        <is>
          <t>not recorded anywhere in the source data</t>
        </is>
      </c>
      <c r="H4" t="inlineStr">
        <is>
          <t>grouping (unavailable)</t>
        </is>
      </c>
      <c r="I4" t="inlineStr">
        <is>
          <t>NA</t>
        </is>
      </c>
      <c r="J4" t="inlineStr">
        <is>
          <t>N</t>
        </is>
      </c>
    </row>
    <row r="5">
      <c r="A5" t="inlineStr">
        <is>
          <t>completed_s1</t>
        </is>
      </c>
      <c r="B5" t="inlineStr">
        <is>
          <t>02_PARTICIPANTS</t>
        </is>
      </c>
      <c r="C5" t="inlineStr">
        <is>
          <t>boolean</t>
        </is>
      </c>
      <c r="D5" t="inlineStr">
        <is>
          <t>Whether this participant has an S1 observation</t>
        </is>
      </c>
      <c r="E5" t="inlineStr"/>
      <c r="F5" t="inlineStr"/>
      <c r="G5" t="inlineStr"/>
      <c r="H5" t="inlineStr"/>
      <c r="I5" t="inlineStr">
        <is>
          <t>COUNTIFS over 03_OBSERVATIONS</t>
        </is>
      </c>
      <c r="J5" t="inlineStr">
        <is>
          <t>Y</t>
        </is>
      </c>
    </row>
    <row r="6">
      <c r="A6" t="inlineStr">
        <is>
          <t>completed_s2</t>
        </is>
      </c>
      <c r="B6" t="inlineStr">
        <is>
          <t>02_PARTICIPANTS</t>
        </is>
      </c>
      <c r="C6" t="inlineStr">
        <is>
          <t>boolean</t>
        </is>
      </c>
      <c r="D6" t="inlineStr">
        <is>
          <t>Whether this participant has an S2 observation</t>
        </is>
      </c>
      <c r="E6" t="inlineStr"/>
      <c r="F6" t="inlineStr"/>
      <c r="G6" t="inlineStr"/>
      <c r="H6" t="inlineStr"/>
      <c r="I6" t="inlineStr">
        <is>
          <t>COUNTIFS over 03_OBSERVATIONS</t>
        </is>
      </c>
      <c r="J6" t="inlineStr">
        <is>
          <t>Y</t>
        </is>
      </c>
    </row>
    <row r="7">
      <c r="A7" t="inlineStr">
        <is>
          <t>total_observations</t>
        </is>
      </c>
      <c r="B7" t="inlineStr">
        <is>
          <t>02_PARTICIPANTS</t>
        </is>
      </c>
      <c r="C7" t="inlineStr">
        <is>
          <t>integer</t>
        </is>
      </c>
      <c r="D7" t="inlineStr">
        <is>
          <t>Count of observation rows for this participant</t>
        </is>
      </c>
      <c r="E7" t="inlineStr"/>
      <c r="F7" t="inlineStr"/>
      <c r="G7" t="inlineStr"/>
      <c r="H7" t="inlineStr"/>
      <c r="I7" t="inlineStr">
        <is>
          <t>COUNTIF over 03_OBSERVATIONS</t>
        </is>
      </c>
      <c r="J7" t="inlineStr">
        <is>
          <t>Y</t>
        </is>
      </c>
    </row>
    <row r="8">
      <c r="A8" t="inlineStr">
        <is>
          <t>notes</t>
        </is>
      </c>
      <c r="B8" t="inlineStr">
        <is>
          <t>02_PARTICIPANTS</t>
        </is>
      </c>
      <c r="C8" t="inlineStr">
        <is>
          <t>string</t>
        </is>
      </c>
      <c r="D8" t="inlineStr">
        <is>
          <t>Free-text note (e.g. missing scenario)</t>
        </is>
      </c>
      <c r="E8" t="inlineStr"/>
      <c r="F8" t="inlineStr"/>
      <c r="G8" t="inlineStr"/>
      <c r="H8" t="inlineStr"/>
      <c r="I8" t="inlineStr">
        <is>
          <t>derived</t>
        </is>
      </c>
      <c r="J8" t="inlineStr">
        <is>
          <t>N</t>
        </is>
      </c>
    </row>
    <row r="9">
      <c r="A9" t="inlineStr">
        <is>
          <t>observation_id</t>
        </is>
      </c>
      <c r="B9" t="inlineStr">
        <is>
          <t>03_OBSERVATIONS</t>
        </is>
      </c>
      <c r="C9" t="inlineStr">
        <is>
          <t>string</t>
        </is>
      </c>
      <c r="D9" t="inlineStr">
        <is>
          <t>Unique observation identifier</t>
        </is>
      </c>
      <c r="E9" t="inlineStr"/>
      <c r="F9" t="inlineStr">
        <is>
          <t>OBS001-OBS043</t>
        </is>
      </c>
      <c r="G9" t="inlineStr"/>
      <c r="H9" t="inlineStr">
        <is>
          <t>primary key</t>
        </is>
      </c>
      <c r="I9" t="inlineStr">
        <is>
          <t>derived: sequential, sorted by participant_id then scenario_id</t>
        </is>
      </c>
      <c r="J9" t="inlineStr">
        <is>
          <t>N</t>
        </is>
      </c>
    </row>
    <row r="10">
      <c r="A10" t="inlineStr">
        <is>
          <t>participant_id</t>
        </is>
      </c>
      <c r="B10" t="inlineStr">
        <is>
          <t>03_OBSERVATIONS</t>
        </is>
      </c>
      <c r="C10" t="inlineStr">
        <is>
          <t>string</t>
        </is>
      </c>
      <c r="D10" t="inlineStr">
        <is>
          <t>Participant this observation belongs to</t>
        </is>
      </c>
      <c r="E10" t="inlineStr"/>
      <c r="F10" t="inlineStr"/>
      <c r="G10" t="inlineStr"/>
      <c r="H10" t="inlineStr">
        <is>
          <t>foreign key -&gt; 02_PARTICIPANTS</t>
        </is>
      </c>
      <c r="I10" t="inlineStr">
        <is>
          <t>from raw_joined_by_scenario.csv (r0x)</t>
        </is>
      </c>
      <c r="J10" t="inlineStr">
        <is>
          <t>N</t>
        </is>
      </c>
    </row>
    <row r="11">
      <c r="A11" t="inlineStr">
        <is>
          <t>scenario_id</t>
        </is>
      </c>
      <c r="B11" t="inlineStr">
        <is>
          <t>03_OBSERVATIONS</t>
        </is>
      </c>
      <c r="C11" t="inlineStr">
        <is>
          <t>category</t>
        </is>
      </c>
      <c r="D11" t="inlineStr">
        <is>
          <t>Scenario</t>
        </is>
      </c>
      <c r="E11" t="inlineStr"/>
      <c r="F11" t="inlineStr">
        <is>
          <t>S1/S2</t>
        </is>
      </c>
      <c r="G11" t="inlineStr"/>
      <c r="H11" t="inlineStr"/>
      <c r="I11" t="inlineStr">
        <is>
          <t>raw_joined_by_scenario.csv:scenario</t>
        </is>
      </c>
      <c r="J11" t="inlineStr">
        <is>
          <t>N</t>
        </is>
      </c>
    </row>
    <row r="12">
      <c r="A12" t="inlineStr">
        <is>
          <t>scenario_order</t>
        </is>
      </c>
      <c r="B12" t="inlineStr">
        <is>
          <t>03_OBSERVATIONS</t>
        </is>
      </c>
      <c r="C12" t="inlineStr">
        <is>
          <t>integer</t>
        </is>
      </c>
      <c r="D12" t="inlineStr">
        <is>
          <t>1=S1, 2=S2</t>
        </is>
      </c>
      <c r="E12" t="inlineStr"/>
      <c r="F12" t="inlineStr"/>
      <c r="G12" t="inlineStr"/>
      <c r="H12" t="inlineStr"/>
      <c r="I12" t="inlineStr">
        <is>
          <t>formula: IF(scenario_id="S1",1,2)</t>
        </is>
      </c>
      <c r="J12" t="inlineStr">
        <is>
          <t>Y</t>
        </is>
      </c>
    </row>
    <row r="13">
      <c r="A13" t="inlineStr">
        <is>
          <t>session_id</t>
        </is>
      </c>
      <c r="B13" t="inlineStr">
        <is>
          <t>03_OBSERVATIONS</t>
        </is>
      </c>
      <c r="C13" t="inlineStr">
        <is>
          <t>string</t>
        </is>
      </c>
      <c r="D13" t="inlineStr">
        <is>
          <t>Production session identifier</t>
        </is>
      </c>
      <c r="E13" t="inlineStr"/>
      <c r="F13" t="inlineStr">
        <is>
          <t>NA</t>
        </is>
      </c>
      <c r="G13" t="inlineStr">
        <is>
          <t>scrubbed from the safe/anonymized export for participant privacy</t>
        </is>
      </c>
      <c r="H13" t="inlineStr"/>
      <c r="I13" t="inlineStr">
        <is>
          <t>NA</t>
        </is>
      </c>
      <c r="J13" t="inlineStr">
        <is>
          <t>N</t>
        </is>
      </c>
    </row>
    <row r="14">
      <c r="A14" t="inlineStr">
        <is>
          <t>timestamp_start</t>
        </is>
      </c>
      <c r="B14" t="inlineStr">
        <is>
          <t>03_OBSERVATIONS</t>
        </is>
      </c>
      <c r="C14" t="inlineStr">
        <is>
          <t>datetime</t>
        </is>
      </c>
      <c r="D14" t="inlineStr">
        <is>
          <t>Scenario start timestamp</t>
        </is>
      </c>
      <c r="E14" t="inlineStr"/>
      <c r="F14" t="inlineStr">
        <is>
          <t>NA</t>
        </is>
      </c>
      <c r="G14" t="inlineStr">
        <is>
          <t>not present in the safe per-observation export</t>
        </is>
      </c>
      <c r="H14" t="inlineStr"/>
      <c r="I14" t="inlineStr">
        <is>
          <t>NA</t>
        </is>
      </c>
      <c r="J14" t="inlineStr">
        <is>
          <t>N</t>
        </is>
      </c>
    </row>
    <row r="15">
      <c r="A15" t="inlineStr">
        <is>
          <t>timestamp_end</t>
        </is>
      </c>
      <c r="B15" t="inlineStr">
        <is>
          <t>03_OBSERVATIONS</t>
        </is>
      </c>
      <c r="C15" t="inlineStr">
        <is>
          <t>datetime</t>
        </is>
      </c>
      <c r="D15" t="inlineStr">
        <is>
          <t>Scenario end timestamp</t>
        </is>
      </c>
      <c r="E15" t="inlineStr"/>
      <c r="F15" t="inlineStr">
        <is>
          <t>NA</t>
        </is>
      </c>
      <c r="G15" t="inlineStr">
        <is>
          <t>not present in the safe per-observation export</t>
        </is>
      </c>
      <c r="H15" t="inlineStr"/>
      <c r="I15" t="inlineStr">
        <is>
          <t>NA</t>
        </is>
      </c>
      <c r="J15" t="inlineStr">
        <is>
          <t>N</t>
        </is>
      </c>
    </row>
    <row r="16">
      <c r="A16" t="inlineStr">
        <is>
          <t>query_text</t>
        </is>
      </c>
      <c r="B16" t="inlineStr">
        <is>
          <t>03_OBSERVATIONS</t>
        </is>
      </c>
      <c r="C16" t="inlineStr">
        <is>
          <t>string</t>
        </is>
      </c>
      <c r="D16" t="inlineStr">
        <is>
          <t>User question text</t>
        </is>
      </c>
      <c r="E16" t="inlineStr"/>
      <c r="F16" t="inlineStr">
        <is>
          <t>NA</t>
        </is>
      </c>
      <c r="G16" t="inlineStr">
        <is>
          <t>not present in the safe per-observation export</t>
        </is>
      </c>
      <c r="H16" t="inlineStr"/>
      <c r="I16" t="inlineStr">
        <is>
          <t>NA</t>
        </is>
      </c>
      <c r="J16" t="inlineStr">
        <is>
          <t>N</t>
        </is>
      </c>
    </row>
    <row r="17">
      <c r="A17" t="inlineStr">
        <is>
          <t>response_id</t>
        </is>
      </c>
      <c r="B17" t="inlineStr">
        <is>
          <t>03_OBSERVATIONS</t>
        </is>
      </c>
      <c r="C17" t="inlineStr">
        <is>
          <t>string</t>
        </is>
      </c>
      <c r="D17" t="inlineStr">
        <is>
          <t>System response identifier</t>
        </is>
      </c>
      <c r="E17" t="inlineStr"/>
      <c r="F17" t="inlineStr">
        <is>
          <t>NA</t>
        </is>
      </c>
      <c r="G17" t="inlineStr">
        <is>
          <t>not present in the safe per-observation export</t>
        </is>
      </c>
      <c r="H17" t="inlineStr"/>
      <c r="I17" t="inlineStr">
        <is>
          <t>NA</t>
        </is>
      </c>
      <c r="J17" t="inlineStr">
        <is>
          <t>N</t>
        </is>
      </c>
    </row>
    <row r="18">
      <c r="A18" t="inlineStr">
        <is>
          <t>task_status</t>
        </is>
      </c>
      <c r="B18" t="inlineStr">
        <is>
          <t>03_OBSERVATIONS</t>
        </is>
      </c>
      <c r="C18" t="inlineStr">
        <is>
          <t>category</t>
        </is>
      </c>
      <c r="D18" t="inlineStr">
        <is>
          <t>Production answer_status for this turn</t>
        </is>
      </c>
      <c r="E18" t="inlineStr"/>
      <c r="F18" t="inlineStr">
        <is>
          <t>verified/out_of_domain/insufficient_context/fallback_enforced/needs_clarification/blank</t>
        </is>
      </c>
      <c r="G18" t="inlineStr">
        <is>
          <t>blank when no trace_id was linked (1 row: participant with no matched production turn)</t>
        </is>
      </c>
      <c r="H18" t="inlineStr"/>
      <c r="I18" t="inlineStr">
        <is>
          <t>raw_joined_by_scenario.csv:answer_status</t>
        </is>
      </c>
      <c r="J18" t="inlineStr">
        <is>
          <t>N</t>
        </is>
      </c>
    </row>
    <row r="19">
      <c r="A19" t="inlineStr">
        <is>
          <t>data_source</t>
        </is>
      </c>
      <c r="B19" t="inlineStr">
        <is>
          <t>03_OBSERVATIONS</t>
        </is>
      </c>
      <c r="C19" t="inlineStr">
        <is>
          <t>string</t>
        </is>
      </c>
      <c r="D19" t="inlineStr">
        <is>
          <t>Provenance of this row</t>
        </is>
      </c>
      <c r="E19" t="inlineStr"/>
      <c r="F19" t="inlineStr"/>
      <c r="G19" t="inlineStr"/>
      <c r="H19" t="inlineStr"/>
      <c r="I19" t="inlineStr">
        <is>
          <t>derived: source file + row</t>
        </is>
      </c>
      <c r="J19" t="inlineStr">
        <is>
          <t>N</t>
        </is>
      </c>
    </row>
    <row r="20">
      <c r="A20" t="inlineStr">
        <is>
          <t>missing_flag</t>
        </is>
      </c>
      <c r="B20" t="inlineStr">
        <is>
          <t>03_OBSERVATIONS</t>
        </is>
      </c>
      <c r="C20" t="inlineStr">
        <is>
          <t>boolean</t>
        </is>
      </c>
      <c r="D20" t="inlineStr">
        <is>
          <t>TRUE if task_status is blank</t>
        </is>
      </c>
      <c r="E20" t="inlineStr"/>
      <c r="F20" t="inlineStr"/>
      <c r="G20" t="inlineStr"/>
      <c r="H20" t="inlineStr"/>
      <c r="I20" t="inlineStr">
        <is>
          <t>formula: IF(task_status="",TRUE,FALSE)</t>
        </is>
      </c>
      <c r="J20" t="inlineStr">
        <is>
          <t>Y</t>
        </is>
      </c>
    </row>
    <row r="21">
      <c r="A21" t="inlineStr">
        <is>
          <t>missing_reason</t>
        </is>
      </c>
      <c r="B21" t="inlineStr">
        <is>
          <t>03_OBSERVATIONS</t>
        </is>
      </c>
      <c r="C21" t="inlineStr">
        <is>
          <t>string</t>
        </is>
      </c>
      <c r="D21" t="inlineStr">
        <is>
          <t>Why task_status is blank, if applicable</t>
        </is>
      </c>
      <c r="E21" t="inlineStr"/>
      <c r="F21" t="inlineStr"/>
      <c r="G21" t="inlineStr"/>
      <c r="H21" t="inlineStr"/>
      <c r="I21" t="inlineStr">
        <is>
          <t>derived</t>
        </is>
      </c>
      <c r="J21" t="inlineStr">
        <is>
          <t>N</t>
        </is>
      </c>
    </row>
    <row r="22">
      <c r="A22" t="inlineStr">
        <is>
          <t>observation_id</t>
        </is>
      </c>
      <c r="B22" t="inlineStr">
        <is>
          <t>04_ASQ_RESPONSES</t>
        </is>
      </c>
      <c r="C22" t="inlineStr">
        <is>
          <t>string</t>
        </is>
      </c>
      <c r="D22" t="inlineStr">
        <is>
          <t>FK to 03_OBSERVATIONS</t>
        </is>
      </c>
      <c r="E22" t="inlineStr"/>
      <c r="F22" t="inlineStr"/>
      <c r="G22" t="inlineStr"/>
      <c r="H22" t="inlineStr">
        <is>
          <t>foreign key</t>
        </is>
      </c>
      <c r="I22" t="inlineStr">
        <is>
          <t>formula: ='03_OBSERVATIONS' same row</t>
        </is>
      </c>
      <c r="J22" t="inlineStr">
        <is>
          <t>Y</t>
        </is>
      </c>
    </row>
    <row r="23">
      <c r="A23" t="inlineStr">
        <is>
          <t>participant_id</t>
        </is>
      </c>
      <c r="B23" t="inlineStr">
        <is>
          <t>04_ASQ_RESPONSES</t>
        </is>
      </c>
      <c r="C23" t="inlineStr">
        <is>
          <t>string</t>
        </is>
      </c>
      <c r="D23" t="inlineStr">
        <is>
          <t>FK to 02_PARTICIPANTS</t>
        </is>
      </c>
      <c r="E23" t="inlineStr"/>
      <c r="F23" t="inlineStr"/>
      <c r="G23" t="inlineStr"/>
      <c r="H23" t="inlineStr"/>
      <c r="I23" t="inlineStr">
        <is>
          <t>formula: ='03_OBSERVATIONS' same row</t>
        </is>
      </c>
      <c r="J23" t="inlineStr">
        <is>
          <t>Y</t>
        </is>
      </c>
    </row>
    <row r="24">
      <c r="A24" t="inlineStr">
        <is>
          <t>scenario_id</t>
        </is>
      </c>
      <c r="B24" t="inlineStr">
        <is>
          <t>04_ASQ_RESPONSES</t>
        </is>
      </c>
      <c r="C24" t="inlineStr">
        <is>
          <t>category</t>
        </is>
      </c>
      <c r="D24" t="inlineStr">
        <is>
          <t>S1/S2</t>
        </is>
      </c>
      <c r="E24" t="inlineStr"/>
      <c r="F24" t="inlineStr"/>
      <c r="G24" t="inlineStr"/>
      <c r="H24" t="inlineStr"/>
      <c r="I24" t="inlineStr">
        <is>
          <t>formula: ='03_OBSERVATIONS' same row</t>
        </is>
      </c>
      <c r="J24" t="inlineStr">
        <is>
          <t>Y</t>
        </is>
      </c>
    </row>
    <row r="25">
      <c r="A25" t="inlineStr">
        <is>
          <t>asq_q1_ease</t>
        </is>
      </c>
      <c r="B25" t="inlineStr">
        <is>
          <t>04_ASQ_RESPONSES</t>
        </is>
      </c>
      <c r="C25" t="inlineStr">
        <is>
          <t>integer</t>
        </is>
      </c>
      <c r="D25" t="inlineStr">
        <is>
          <t>ASQ item 1: ease of completing the task</t>
        </is>
      </c>
      <c r="E25" t="inlineStr">
        <is>
          <t>1-7 Likert</t>
        </is>
      </c>
      <c r="F25" t="inlineStr">
        <is>
          <t>1-7</t>
        </is>
      </c>
      <c r="G25" t="inlineStr"/>
      <c r="H25" t="inlineStr"/>
      <c r="I25" t="inlineStr">
        <is>
          <t>raw_joined_by_scenario.csv:asq_1</t>
        </is>
      </c>
      <c r="J25" t="inlineStr">
        <is>
          <t>N</t>
        </is>
      </c>
    </row>
    <row r="26">
      <c r="A26" t="inlineStr">
        <is>
          <t>asq_q2_time</t>
        </is>
      </c>
      <c r="B26" t="inlineStr">
        <is>
          <t>04_ASQ_RESPONSES</t>
        </is>
      </c>
      <c r="C26" t="inlineStr">
        <is>
          <t>integer</t>
        </is>
      </c>
      <c r="D26" t="inlineStr">
        <is>
          <t>ASQ item 2: satisfaction with time taken</t>
        </is>
      </c>
      <c r="E26" t="inlineStr">
        <is>
          <t>1-7 Likert</t>
        </is>
      </c>
      <c r="F26" t="inlineStr">
        <is>
          <t>1-7</t>
        </is>
      </c>
      <c r="G26" t="inlineStr"/>
      <c r="H26" t="inlineStr"/>
      <c r="I26" t="inlineStr">
        <is>
          <t>raw_joined_by_scenario.csv:asq_2</t>
        </is>
      </c>
      <c r="J26" t="inlineStr">
        <is>
          <t>N</t>
        </is>
      </c>
    </row>
    <row r="27">
      <c r="A27" t="inlineStr">
        <is>
          <t>asq_q3_information_support</t>
        </is>
      </c>
      <c r="B27" t="inlineStr">
        <is>
          <t>04_ASQ_RESPONSES</t>
        </is>
      </c>
      <c r="C27" t="inlineStr">
        <is>
          <t>integer</t>
        </is>
      </c>
      <c r="D27" t="inlineStr">
        <is>
          <t>ASQ item 3: satisfaction with information/citations/messages</t>
        </is>
      </c>
      <c r="E27" t="inlineStr">
        <is>
          <t>1-7 Likert</t>
        </is>
      </c>
      <c r="F27" t="inlineStr">
        <is>
          <t>1-7</t>
        </is>
      </c>
      <c r="G27" t="inlineStr"/>
      <c r="H27" t="inlineStr"/>
      <c r="I27" t="inlineStr">
        <is>
          <t>raw_joined_by_scenario.csv:asq_3</t>
        </is>
      </c>
      <c r="J27" t="inlineStr">
        <is>
          <t>N</t>
        </is>
      </c>
    </row>
    <row r="28">
      <c r="A28" t="inlineStr">
        <is>
          <t>asq_mean</t>
        </is>
      </c>
      <c r="B28" t="inlineStr">
        <is>
          <t>04_ASQ_RESPONSES</t>
        </is>
      </c>
      <c r="C28" t="inlineStr">
        <is>
          <t>decimal</t>
        </is>
      </c>
      <c r="D28" t="inlineStr">
        <is>
          <t>Mean of the 3 ASQ items</t>
        </is>
      </c>
      <c r="E28" t="inlineStr">
        <is>
          <t>1-7</t>
        </is>
      </c>
      <c r="F28" t="inlineStr"/>
      <c r="G28" t="inlineStr"/>
      <c r="H28" t="inlineStr">
        <is>
          <t>primary DV (perceived usability)</t>
        </is>
      </c>
      <c r="I28" t="inlineStr">
        <is>
          <t>formula: AVERAGE(q1,q2,q3)</t>
        </is>
      </c>
      <c r="J28" t="inlineStr">
        <is>
          <t>Y</t>
        </is>
      </c>
    </row>
    <row r="29">
      <c r="A29" t="inlineStr">
        <is>
          <t>asq_complete</t>
        </is>
      </c>
      <c r="B29" t="inlineStr">
        <is>
          <t>04_ASQ_RESPONSES</t>
        </is>
      </c>
      <c r="C29" t="inlineStr">
        <is>
          <t>boolean</t>
        </is>
      </c>
      <c r="D29" t="inlineStr">
        <is>
          <t>TRUE iff all 3 items present</t>
        </is>
      </c>
      <c r="E29" t="inlineStr"/>
      <c r="F29" t="inlineStr"/>
      <c r="G29" t="inlineStr"/>
      <c r="H29" t="inlineStr"/>
      <c r="I29" t="inlineStr">
        <is>
          <t>formula: IF(COUNT(q1:q3)=3,TRUE,FALSE)</t>
        </is>
      </c>
      <c r="J29" t="inlineStr">
        <is>
          <t>Y</t>
        </is>
      </c>
    </row>
    <row r="30">
      <c r="A30" t="inlineStr">
        <is>
          <t>asq_notes</t>
        </is>
      </c>
      <c r="B30" t="inlineStr">
        <is>
          <t>04_ASQ_RESPONSES</t>
        </is>
      </c>
      <c r="C30" t="inlineStr">
        <is>
          <t>string</t>
        </is>
      </c>
      <c r="D30" t="inlineStr">
        <is>
          <t>Free-text note</t>
        </is>
      </c>
      <c r="E30" t="inlineStr"/>
      <c r="F30" t="inlineStr"/>
      <c r="G30" t="inlineStr"/>
      <c r="H30" t="inlineStr"/>
      <c r="I30" t="inlineStr">
        <is>
          <t>derived (source notes column empty)</t>
        </is>
      </c>
      <c r="J30" t="inlineStr">
        <is>
          <t>N</t>
        </is>
      </c>
    </row>
    <row r="31">
      <c r="A31" t="inlineStr">
        <is>
          <t>observation_id</t>
        </is>
      </c>
      <c r="B31" t="inlineStr">
        <is>
          <t>05_TASK_PERFORMANCE</t>
        </is>
      </c>
      <c r="C31" t="inlineStr">
        <is>
          <t>string</t>
        </is>
      </c>
      <c r="D31" t="inlineStr">
        <is>
          <t>FK</t>
        </is>
      </c>
      <c r="E31" t="inlineStr"/>
      <c r="F31" t="inlineStr"/>
      <c r="G31" t="inlineStr"/>
      <c r="H31" t="inlineStr"/>
      <c r="I31" t="inlineStr">
        <is>
          <t>same row as 03</t>
        </is>
      </c>
      <c r="J31" t="inlineStr">
        <is>
          <t>Y</t>
        </is>
      </c>
    </row>
    <row r="32">
      <c r="A32" t="inlineStr">
        <is>
          <t>participant_id</t>
        </is>
      </c>
      <c r="B32" t="inlineStr">
        <is>
          <t>05_TASK_PERFORMANCE</t>
        </is>
      </c>
      <c r="C32" t="inlineStr">
        <is>
          <t>string</t>
        </is>
      </c>
      <c r="D32" t="inlineStr">
        <is>
          <t>FK</t>
        </is>
      </c>
      <c r="E32" t="inlineStr"/>
      <c r="F32" t="inlineStr"/>
      <c r="G32" t="inlineStr"/>
      <c r="H32" t="inlineStr"/>
      <c r="I32" t="inlineStr">
        <is>
          <t>same row as 03</t>
        </is>
      </c>
      <c r="J32" t="inlineStr">
        <is>
          <t>Y</t>
        </is>
      </c>
    </row>
    <row r="33">
      <c r="A33" t="inlineStr">
        <is>
          <t>scenario_id</t>
        </is>
      </c>
      <c r="B33" t="inlineStr">
        <is>
          <t>05_TASK_PERFORMANCE</t>
        </is>
      </c>
      <c r="C33" t="inlineStr">
        <is>
          <t>category</t>
        </is>
      </c>
      <c r="D33" t="inlineStr">
        <is>
          <t>S1/S2</t>
        </is>
      </c>
      <c r="E33" t="inlineStr"/>
      <c r="F33" t="inlineStr"/>
      <c r="G33" t="inlineStr"/>
      <c r="H33" t="inlineStr"/>
      <c r="I33" t="inlineStr">
        <is>
          <t>same row as 03</t>
        </is>
      </c>
      <c r="J33" t="inlineStr">
        <is>
          <t>Y</t>
        </is>
      </c>
    </row>
    <row r="34">
      <c r="A34" t="inlineStr">
        <is>
          <t>task_success</t>
        </is>
      </c>
      <c r="B34" t="inlineStr">
        <is>
          <t>05_TASK_PERFORMANCE</t>
        </is>
      </c>
      <c r="C34" t="inlineStr">
        <is>
          <t>binary</t>
        </is>
      </c>
      <c r="D34" t="inlineStr">
        <is>
          <t>1=success, 0=not success, blank=no linked turn</t>
        </is>
      </c>
      <c r="E34" t="inlineStr"/>
      <c r="F34" t="inlineStr">
        <is>
          <t>0/1/blank</t>
        </is>
      </c>
      <c r="G34" t="inlineStr"/>
      <c r="H34" t="inlineStr">
        <is>
          <t>primary objective-performance DV</t>
        </is>
      </c>
      <c r="I34" t="inlineStr">
        <is>
          <t>raw_joined_by_scenario.csv:task_success (rule: answer_status in {answered, verified})</t>
        </is>
      </c>
      <c r="J34" t="inlineStr">
        <is>
          <t>N</t>
        </is>
      </c>
    </row>
    <row r="35">
      <c r="A35" t="inlineStr">
        <is>
          <t>task_status</t>
        </is>
      </c>
      <c r="B35" t="inlineStr">
        <is>
          <t>05_TASK_PERFORMANCE</t>
        </is>
      </c>
      <c r="C35" t="inlineStr">
        <is>
          <t>category</t>
        </is>
      </c>
      <c r="D35" t="inlineStr">
        <is>
          <t>same as 03_OBSERVATIONS.task_status</t>
        </is>
      </c>
      <c r="E35" t="inlineStr"/>
      <c r="F35" t="inlineStr"/>
      <c r="G35" t="inlineStr"/>
      <c r="H35" t="inlineStr"/>
      <c r="I35" t="inlineStr">
        <is>
          <t>formula: ='03_OBSERVATIONS' same row</t>
        </is>
      </c>
      <c r="J35" t="inlineStr">
        <is>
          <t>Y</t>
        </is>
      </c>
    </row>
    <row r="36">
      <c r="A36" t="inlineStr">
        <is>
          <t>completion_time_sec</t>
        </is>
      </c>
      <c r="B36" t="inlineStr">
        <is>
          <t>05_TASK_PERFORMANCE</t>
        </is>
      </c>
      <c r="C36" t="inlineStr">
        <is>
          <t>numeric</t>
        </is>
      </c>
      <c r="D36" t="inlineStr">
        <is>
          <t>Completion time proxy</t>
        </is>
      </c>
      <c r="E36" t="inlineStr">
        <is>
          <t>seconds</t>
        </is>
      </c>
      <c r="F36" t="inlineStr"/>
      <c r="G36" t="inlineStr"/>
      <c r="H36" t="inlineStr"/>
      <c r="I36" t="inlineStr">
        <is>
          <t>raw_joined_by_scenario.csv:completion_time_s</t>
        </is>
      </c>
      <c r="J36" t="inlineStr">
        <is>
          <t>N</t>
        </is>
      </c>
    </row>
    <row r="37">
      <c r="A37" t="inlineStr">
        <is>
          <t>completion_time_source</t>
        </is>
      </c>
      <c r="B37" t="inlineStr">
        <is>
          <t>05_TASK_PERFORMANCE</t>
        </is>
      </c>
      <c r="C37" t="inlineStr">
        <is>
          <t>string</t>
        </is>
      </c>
      <c r="D37" t="inlineStr">
        <is>
          <t>Constant: this is a proxy (ASQ-submission timestamp delta), not a stopwatch measurement</t>
        </is>
      </c>
      <c r="E37" t="inlineStr"/>
      <c r="F37" t="inlineStr"/>
      <c r="G37" t="inlineStr"/>
      <c r="H37" t="inlineStr"/>
      <c r="I37" t="inlineStr">
        <is>
          <t>constant</t>
        </is>
      </c>
      <c r="J37" t="inlineStr">
        <is>
          <t>N</t>
        </is>
      </c>
    </row>
    <row r="38">
      <c r="A38" t="inlineStr">
        <is>
          <t>success_evidence</t>
        </is>
      </c>
      <c r="B38" t="inlineStr">
        <is>
          <t>05_TASK_PERFORMANCE</t>
        </is>
      </c>
      <c r="C38" t="inlineStr">
        <is>
          <t>string</t>
        </is>
      </c>
      <c r="D38" t="inlineStr">
        <is>
          <t>Evidence text derived from task_status</t>
        </is>
      </c>
      <c r="E38" t="inlineStr"/>
      <c r="F38" t="inlineStr"/>
      <c r="G38" t="inlineStr"/>
      <c r="H38" t="inlineStr"/>
      <c r="I38" t="inlineStr">
        <is>
          <t>derived</t>
        </is>
      </c>
      <c r="J38" t="inlineStr">
        <is>
          <t>N</t>
        </is>
      </c>
    </row>
    <row r="39">
      <c r="A39" t="inlineStr">
        <is>
          <t>evaluator_notes</t>
        </is>
      </c>
      <c r="B39" t="inlineStr">
        <is>
          <t>05_TASK_PERFORMANCE</t>
        </is>
      </c>
      <c r="C39" t="inlineStr">
        <is>
          <t>string</t>
        </is>
      </c>
      <c r="D39" t="inlineStr">
        <is>
          <t>Flags negative/outlier completion-time rows per source's own validity flags</t>
        </is>
      </c>
      <c r="E39" t="inlineStr"/>
      <c r="F39" t="inlineStr"/>
      <c r="G39" t="inlineStr"/>
      <c r="H39" t="inlineStr"/>
      <c r="I39" t="inlineStr">
        <is>
          <t>derived</t>
        </is>
      </c>
      <c r="J39" t="inlineStr">
        <is>
          <t>N</t>
        </is>
      </c>
    </row>
    <row r="40">
      <c r="A40" t="inlineStr">
        <is>
          <t>observation_id</t>
        </is>
      </c>
      <c r="B40" t="inlineStr">
        <is>
          <t>06_SYSTEM_METRICS</t>
        </is>
      </c>
      <c r="C40" t="inlineStr">
        <is>
          <t>string</t>
        </is>
      </c>
      <c r="D40" t="inlineStr">
        <is>
          <t>FK</t>
        </is>
      </c>
      <c r="E40" t="inlineStr"/>
      <c r="F40" t="inlineStr"/>
      <c r="G40" t="inlineStr"/>
      <c r="H40" t="inlineStr"/>
      <c r="I40" t="inlineStr">
        <is>
          <t>same row as 03</t>
        </is>
      </c>
      <c r="J40" t="inlineStr">
        <is>
          <t>Y</t>
        </is>
      </c>
    </row>
    <row r="41">
      <c r="A41" t="inlineStr">
        <is>
          <t>participant_id</t>
        </is>
      </c>
      <c r="B41" t="inlineStr">
        <is>
          <t>06_SYSTEM_METRICS</t>
        </is>
      </c>
      <c r="C41" t="inlineStr">
        <is>
          <t>string</t>
        </is>
      </c>
      <c r="D41" t="inlineStr">
        <is>
          <t>FK</t>
        </is>
      </c>
      <c r="E41" t="inlineStr"/>
      <c r="F41" t="inlineStr"/>
      <c r="G41" t="inlineStr"/>
      <c r="H41" t="inlineStr"/>
      <c r="I41" t="inlineStr">
        <is>
          <t>same row as 03</t>
        </is>
      </c>
      <c r="J41" t="inlineStr">
        <is>
          <t>Y</t>
        </is>
      </c>
    </row>
    <row r="42">
      <c r="A42" t="inlineStr">
        <is>
          <t>scenario_id</t>
        </is>
      </c>
      <c r="B42" t="inlineStr">
        <is>
          <t>06_SYSTEM_METRICS</t>
        </is>
      </c>
      <c r="C42" t="inlineStr">
        <is>
          <t>category</t>
        </is>
      </c>
      <c r="D42" t="inlineStr">
        <is>
          <t>S1/S2</t>
        </is>
      </c>
      <c r="E42" t="inlineStr"/>
      <c r="F42" t="inlineStr"/>
      <c r="G42" t="inlineStr"/>
      <c r="H42" t="inlineStr"/>
      <c r="I42" t="inlineStr">
        <is>
          <t>same row as 03</t>
        </is>
      </c>
      <c r="J42" t="inlineStr">
        <is>
          <t>Y</t>
        </is>
      </c>
    </row>
    <row r="43">
      <c r="A43" t="inlineStr">
        <is>
          <t>latency_ms</t>
        </is>
      </c>
      <c r="B43" t="inlineStr">
        <is>
          <t>06_SYSTEM_METRICS</t>
        </is>
      </c>
      <c r="C43" t="inlineStr">
        <is>
          <t>numeric</t>
        </is>
      </c>
      <c r="D43" t="inlineStr">
        <is>
          <t>Total end-to-end latency for this turn</t>
        </is>
      </c>
      <c r="E43" t="inlineStr">
        <is>
          <t>milliseconds</t>
        </is>
      </c>
      <c r="F43" t="inlineStr"/>
      <c r="G43" t="inlineStr"/>
      <c r="H43" t="inlineStr"/>
      <c r="I43" t="inlineStr">
        <is>
          <t>raw_joined_by_scenario.csv:total_latency_ms</t>
        </is>
      </c>
      <c r="J43" t="inlineStr">
        <is>
          <t>N</t>
        </is>
      </c>
    </row>
    <row r="44">
      <c r="A44" t="inlineStr">
        <is>
          <t>retrieval_latency_ms</t>
        </is>
      </c>
      <c r="B44" t="inlineStr">
        <is>
          <t>06_SYSTEM_METRICS</t>
        </is>
      </c>
      <c r="C44" t="inlineStr">
        <is>
          <t>numeric/string</t>
        </is>
      </c>
      <c r="D44" t="inlineStr">
        <is>
          <t>retrieval_latency_ms (not available at this grain)</t>
        </is>
      </c>
      <c r="E44" t="inlineStr"/>
      <c r="F44" t="inlineStr">
        <is>
          <t>NA</t>
        </is>
      </c>
      <c r="G44" t="inlineStr">
        <is>
          <t>not present in the safe per-observation export; only total_latency_ms was retained</t>
        </is>
      </c>
      <c r="H44" t="inlineStr"/>
      <c r="I44" t="inlineStr">
        <is>
          <t>NA</t>
        </is>
      </c>
      <c r="J44" t="inlineStr">
        <is>
          <t>N</t>
        </is>
      </c>
    </row>
    <row r="45">
      <c r="A45" t="inlineStr">
        <is>
          <t>llm_latency_ms</t>
        </is>
      </c>
      <c r="B45" t="inlineStr">
        <is>
          <t>06_SYSTEM_METRICS</t>
        </is>
      </c>
      <c r="C45" t="inlineStr">
        <is>
          <t>numeric/string</t>
        </is>
      </c>
      <c r="D45" t="inlineStr">
        <is>
          <t>llm_latency_ms (not available at this grain)</t>
        </is>
      </c>
      <c r="E45" t="inlineStr"/>
      <c r="F45" t="inlineStr">
        <is>
          <t>NA</t>
        </is>
      </c>
      <c r="G45" t="inlineStr">
        <is>
          <t>not present in the safe per-observation export; only total_latency_ms was retained</t>
        </is>
      </c>
      <c r="H45" t="inlineStr"/>
      <c r="I45" t="inlineStr">
        <is>
          <t>NA</t>
        </is>
      </c>
      <c r="J45" t="inlineStr">
        <is>
          <t>N</t>
        </is>
      </c>
    </row>
    <row r="46">
      <c r="A46" t="inlineStr">
        <is>
          <t>retrieved_chunks</t>
        </is>
      </c>
      <c r="B46" t="inlineStr">
        <is>
          <t>06_SYSTEM_METRICS</t>
        </is>
      </c>
      <c r="C46" t="inlineStr">
        <is>
          <t>numeric/string</t>
        </is>
      </c>
      <c r="D46" t="inlineStr">
        <is>
          <t>retrieved_chunks (not available at this grain)</t>
        </is>
      </c>
      <c r="E46" t="inlineStr"/>
      <c r="F46" t="inlineStr">
        <is>
          <t>NA</t>
        </is>
      </c>
      <c r="G46" t="inlineStr">
        <is>
          <t>not present in the safe per-observation export; only total_latency_ms was retained</t>
        </is>
      </c>
      <c r="H46" t="inlineStr"/>
      <c r="I46" t="inlineStr">
        <is>
          <t>NA</t>
        </is>
      </c>
      <c r="J46" t="inlineStr">
        <is>
          <t>N</t>
        </is>
      </c>
    </row>
    <row r="47">
      <c r="A47" t="inlineStr">
        <is>
          <t>graph_nodes_retrieved</t>
        </is>
      </c>
      <c r="B47" t="inlineStr">
        <is>
          <t>06_SYSTEM_METRICS</t>
        </is>
      </c>
      <c r="C47" t="inlineStr">
        <is>
          <t>numeric/string</t>
        </is>
      </c>
      <c r="D47" t="inlineStr">
        <is>
          <t>graph_nodes_retrieved (not available at this grain)</t>
        </is>
      </c>
      <c r="E47" t="inlineStr"/>
      <c r="F47" t="inlineStr">
        <is>
          <t>NA</t>
        </is>
      </c>
      <c r="G47" t="inlineStr">
        <is>
          <t>not present in the safe per-observation export; only total_latency_ms was retained</t>
        </is>
      </c>
      <c r="H47" t="inlineStr"/>
      <c r="I47" t="inlineStr">
        <is>
          <t>NA</t>
        </is>
      </c>
      <c r="J47" t="inlineStr">
        <is>
          <t>N</t>
        </is>
      </c>
    </row>
    <row r="48">
      <c r="A48" t="inlineStr">
        <is>
          <t>graph_relationships</t>
        </is>
      </c>
      <c r="B48" t="inlineStr">
        <is>
          <t>06_SYSTEM_METRICS</t>
        </is>
      </c>
      <c r="C48" t="inlineStr">
        <is>
          <t>numeric/string</t>
        </is>
      </c>
      <c r="D48" t="inlineStr">
        <is>
          <t>graph_relationships (not available at this grain)</t>
        </is>
      </c>
      <c r="E48" t="inlineStr"/>
      <c r="F48" t="inlineStr">
        <is>
          <t>NA</t>
        </is>
      </c>
      <c r="G48" t="inlineStr">
        <is>
          <t>not present in the safe per-observation export; only total_latency_ms was retained</t>
        </is>
      </c>
      <c r="H48" t="inlineStr"/>
      <c r="I48" t="inlineStr">
        <is>
          <t>NA</t>
        </is>
      </c>
      <c r="J48" t="inlineStr">
        <is>
          <t>N</t>
        </is>
      </c>
    </row>
    <row r="49">
      <c r="A49" t="inlineStr">
        <is>
          <t>token_input</t>
        </is>
      </c>
      <c r="B49" t="inlineStr">
        <is>
          <t>06_SYSTEM_METRICS</t>
        </is>
      </c>
      <c r="C49" t="inlineStr">
        <is>
          <t>numeric/string</t>
        </is>
      </c>
      <c r="D49" t="inlineStr">
        <is>
          <t>token_input (not available at this grain)</t>
        </is>
      </c>
      <c r="E49" t="inlineStr"/>
      <c r="F49" t="inlineStr">
        <is>
          <t>NA</t>
        </is>
      </c>
      <c r="G49" t="inlineStr">
        <is>
          <t>not present in the safe per-observation export; only total_latency_ms was retained</t>
        </is>
      </c>
      <c r="H49" t="inlineStr"/>
      <c r="I49" t="inlineStr">
        <is>
          <t>NA</t>
        </is>
      </c>
      <c r="J49" t="inlineStr">
        <is>
          <t>N</t>
        </is>
      </c>
    </row>
    <row r="50">
      <c r="A50" t="inlineStr">
        <is>
          <t>token_output</t>
        </is>
      </c>
      <c r="B50" t="inlineStr">
        <is>
          <t>06_SYSTEM_METRICS</t>
        </is>
      </c>
      <c r="C50" t="inlineStr">
        <is>
          <t>numeric/string</t>
        </is>
      </c>
      <c r="D50" t="inlineStr">
        <is>
          <t>token_output (not available at this grain)</t>
        </is>
      </c>
      <c r="E50" t="inlineStr"/>
      <c r="F50" t="inlineStr">
        <is>
          <t>NA</t>
        </is>
      </c>
      <c r="G50" t="inlineStr">
        <is>
          <t>not present in the safe per-observation export; only total_latency_ms was retained</t>
        </is>
      </c>
      <c r="H50" t="inlineStr"/>
      <c r="I50" t="inlineStr">
        <is>
          <t>NA</t>
        </is>
      </c>
      <c r="J50" t="inlineStr">
        <is>
          <t>N</t>
        </is>
      </c>
    </row>
    <row r="51">
      <c r="A51" t="inlineStr">
        <is>
          <t>model_name</t>
        </is>
      </c>
      <c r="B51" t="inlineStr">
        <is>
          <t>06_SYSTEM_METRICS</t>
        </is>
      </c>
      <c r="C51" t="inlineStr">
        <is>
          <t>numeric/string</t>
        </is>
      </c>
      <c r="D51" t="inlineStr">
        <is>
          <t>model_name (not available at this grain)</t>
        </is>
      </c>
      <c r="E51" t="inlineStr"/>
      <c r="F51" t="inlineStr">
        <is>
          <t>NA</t>
        </is>
      </c>
      <c r="G51" t="inlineStr">
        <is>
          <t>not present in the safe per-observation export; only total_latency_ms was retained</t>
        </is>
      </c>
      <c r="H51" t="inlineStr"/>
      <c r="I51" t="inlineStr">
        <is>
          <t>NA</t>
        </is>
      </c>
      <c r="J51" t="inlineStr">
        <is>
          <t>N</t>
        </is>
      </c>
    </row>
    <row r="52">
      <c r="A52" t="inlineStr">
        <is>
          <t>request_status</t>
        </is>
      </c>
      <c r="B52" t="inlineStr">
        <is>
          <t>06_SYSTEM_METRICS</t>
        </is>
      </c>
      <c r="C52" t="inlineStr">
        <is>
          <t>numeric/string</t>
        </is>
      </c>
      <c r="D52" t="inlineStr">
        <is>
          <t>request_status (not available at this grain)</t>
        </is>
      </c>
      <c r="E52" t="inlineStr"/>
      <c r="F52" t="inlineStr">
        <is>
          <t>NA</t>
        </is>
      </c>
      <c r="G52" t="inlineStr">
        <is>
          <t>not present in the safe per-observation export; only total_latency_ms was retained</t>
        </is>
      </c>
      <c r="H52" t="inlineStr"/>
      <c r="I52" t="inlineStr">
        <is>
          <t>NA</t>
        </is>
      </c>
      <c r="J52" t="inlineStr">
        <is>
          <t>N</t>
        </is>
      </c>
    </row>
    <row r="53">
      <c r="A53" t="inlineStr">
        <is>
          <t>missing_reason</t>
        </is>
      </c>
      <c r="B53" t="inlineStr">
        <is>
          <t>06_SYSTEM_METRICS</t>
        </is>
      </c>
      <c r="C53" t="inlineStr">
        <is>
          <t>string</t>
        </is>
      </c>
      <c r="D53" t="inlineStr">
        <is>
          <t>Summary note for the NA columns above</t>
        </is>
      </c>
      <c r="E53" t="inlineStr"/>
      <c r="F53" t="inlineStr"/>
      <c r="G53" t="inlineStr"/>
      <c r="H53" t="inlineStr"/>
      <c r="I53" t="inlineStr">
        <is>
          <t>derived</t>
        </is>
      </c>
      <c r="J53" t="inlineStr">
        <is>
          <t>N</t>
        </is>
      </c>
    </row>
    <row r="54">
      <c r="A54" t="inlineStr">
        <is>
          <t>observation_id</t>
        </is>
      </c>
      <c r="B54" t="inlineStr">
        <is>
          <t>07_CITATION_EVALUATION</t>
        </is>
      </c>
      <c r="C54" t="inlineStr">
        <is>
          <t>string</t>
        </is>
      </c>
      <c r="D54" t="inlineStr">
        <is>
          <t>FK</t>
        </is>
      </c>
      <c r="E54" t="inlineStr"/>
      <c r="F54" t="inlineStr"/>
      <c r="G54" t="inlineStr"/>
      <c r="H54" t="inlineStr"/>
      <c r="I54" t="inlineStr">
        <is>
          <t>same row as 03</t>
        </is>
      </c>
      <c r="J54" t="inlineStr">
        <is>
          <t>Y</t>
        </is>
      </c>
    </row>
    <row r="55">
      <c r="A55" t="inlineStr">
        <is>
          <t>participant_id</t>
        </is>
      </c>
      <c r="B55" t="inlineStr">
        <is>
          <t>07_CITATION_EVALUATION</t>
        </is>
      </c>
      <c r="C55" t="inlineStr">
        <is>
          <t>string</t>
        </is>
      </c>
      <c r="D55" t="inlineStr">
        <is>
          <t>FK</t>
        </is>
      </c>
      <c r="E55" t="inlineStr"/>
      <c r="F55" t="inlineStr"/>
      <c r="G55" t="inlineStr"/>
      <c r="H55" t="inlineStr"/>
      <c r="I55" t="inlineStr">
        <is>
          <t>same row as 03</t>
        </is>
      </c>
      <c r="J55" t="inlineStr">
        <is>
          <t>Y</t>
        </is>
      </c>
    </row>
    <row r="56">
      <c r="A56" t="inlineStr">
        <is>
          <t>scenario_id</t>
        </is>
      </c>
      <c r="B56" t="inlineStr">
        <is>
          <t>07_CITATION_EVALUATION</t>
        </is>
      </c>
      <c r="C56" t="inlineStr">
        <is>
          <t>category</t>
        </is>
      </c>
      <c r="D56" t="inlineStr">
        <is>
          <t>S1/S2</t>
        </is>
      </c>
      <c r="E56" t="inlineStr"/>
      <c r="F56" t="inlineStr"/>
      <c r="G56" t="inlineStr"/>
      <c r="H56" t="inlineStr"/>
      <c r="I56" t="inlineStr">
        <is>
          <t>same row as 03</t>
        </is>
      </c>
      <c r="J56" t="inlineStr">
        <is>
          <t>Y</t>
        </is>
      </c>
    </row>
    <row r="57">
      <c r="A57" t="inlineStr">
        <is>
          <t>n_citations</t>
        </is>
      </c>
      <c r="B57" t="inlineStr">
        <is>
          <t>07_CITATION_EVALUATION</t>
        </is>
      </c>
      <c r="C57" t="inlineStr">
        <is>
          <t>integer</t>
        </is>
      </c>
      <c r="D57" t="inlineStr">
        <is>
          <t>Number of citations returned in this turn</t>
        </is>
      </c>
      <c r="E57" t="inlineStr"/>
      <c r="F57" t="inlineStr"/>
      <c r="G57" t="inlineStr"/>
      <c r="H57" t="inlineStr"/>
      <c r="I57" t="inlineStr">
        <is>
          <t>raw_joined_by_scenario.csv:n_citations</t>
        </is>
      </c>
      <c r="J57" t="inlineStr">
        <is>
          <t>N</t>
        </is>
      </c>
    </row>
    <row r="58">
      <c r="A58" t="inlineStr">
        <is>
          <t>n_valid_citations</t>
        </is>
      </c>
      <c r="B58" t="inlineStr">
        <is>
          <t>07_CITATION_EVALUATION</t>
        </is>
      </c>
      <c r="C58" t="inlineStr">
        <is>
          <t>integer</t>
        </is>
      </c>
      <c r="D58" t="inlineStr">
        <is>
          <t>Number of those citations judged valid</t>
        </is>
      </c>
      <c r="E58" t="inlineStr"/>
      <c r="F58" t="inlineStr"/>
      <c r="G58" t="inlineStr"/>
      <c r="H58" t="inlineStr"/>
      <c r="I58" t="inlineStr">
        <is>
          <t>raw_joined_by_scenario.csv:n_valid_citations</t>
        </is>
      </c>
      <c r="J58" t="inlineStr">
        <is>
          <t>N</t>
        </is>
      </c>
    </row>
    <row r="59">
      <c r="A59" t="inlineStr">
        <is>
          <t>has_correct_citation</t>
        </is>
      </c>
      <c r="B59" t="inlineStr">
        <is>
          <t>07_CITATION_EVALUATION</t>
        </is>
      </c>
      <c r="C59" t="inlineStr">
        <is>
          <t>boolean</t>
        </is>
      </c>
      <c r="D59" t="inlineStr">
        <is>
          <t>TRUE iff n_valid_citations &gt; 0</t>
        </is>
      </c>
      <c r="E59" t="inlineStr"/>
      <c r="F59" t="inlineStr"/>
      <c r="G59" t="inlineStr"/>
      <c r="H59" t="inlineStr">
        <is>
          <t>citation-correctness DV (per-observation, human study)</t>
        </is>
      </c>
      <c r="I59" t="inlineStr">
        <is>
          <t>formula: IF(n_valid_citations="","",n_valid_citations&gt;0)</t>
        </is>
      </c>
      <c r="J59" t="inlineStr">
        <is>
          <t>Y</t>
        </is>
      </c>
    </row>
    <row r="60">
      <c r="A60" t="inlineStr">
        <is>
          <t>citation_evaluation_method</t>
        </is>
      </c>
      <c r="B60" t="inlineStr">
        <is>
          <t>07_CITATION_EVALUATION</t>
        </is>
      </c>
      <c r="C60" t="inlineStr">
        <is>
          <t>string</t>
        </is>
      </c>
      <c r="D60" t="inlineStr">
        <is>
          <t>Per-observation, joined via trace_id to production citation_evaluation_logs</t>
        </is>
      </c>
      <c r="E60" t="inlineStr"/>
      <c r="F60" t="inlineStr"/>
      <c r="G60" t="inlineStr"/>
      <c r="H60" t="inlineStr"/>
      <c r="I60" t="inlineStr">
        <is>
          <t>constant</t>
        </is>
      </c>
      <c r="J60" t="inlineStr">
        <is>
          <t>N</t>
        </is>
      </c>
    </row>
    <row r="61">
      <c r="A61" t="inlineStr">
        <is>
          <t>evaluator_notes</t>
        </is>
      </c>
      <c r="B61" t="inlineStr">
        <is>
          <t>07_CITATION_EVALUATION</t>
        </is>
      </c>
      <c r="C61" t="inlineStr">
        <is>
          <t>string</t>
        </is>
      </c>
      <c r="D61" t="inlineStr">
        <is>
          <t>Explicitly NOT the separate 41-question automated gold-QA citation-correct rate (39.0%) -- that is a different instrument, not tied to these 22 participants; see 09 methodology notes</t>
        </is>
      </c>
      <c r="E61" t="inlineStr"/>
      <c r="F61" t="inlineStr"/>
      <c r="G61" t="inlineStr"/>
      <c r="H61" t="inlineStr"/>
      <c r="I61" t="inlineStr">
        <is>
          <t>constant</t>
        </is>
      </c>
      <c r="J61" t="inlineStr">
        <is>
          <t>N</t>
        </is>
      </c>
    </row>
    <row r="62">
      <c r="A62" t="inlineStr">
        <is>
          <t>observation_id</t>
        </is>
      </c>
      <c r="B62" t="inlineStr">
        <is>
          <t>08_MERGED_ANALYSIS</t>
        </is>
      </c>
      <c r="C62" t="inlineStr">
        <is>
          <t>string</t>
        </is>
      </c>
      <c r="D62" t="inlineStr">
        <is>
          <t>PK / join key</t>
        </is>
      </c>
      <c r="E62" t="inlineStr"/>
      <c r="F62" t="inlineStr"/>
      <c r="G62" t="inlineStr"/>
      <c r="H62" t="inlineStr"/>
      <c r="I62" t="inlineStr">
        <is>
          <t>same row as 03</t>
        </is>
      </c>
      <c r="J62" t="inlineStr">
        <is>
          <t>Y</t>
        </is>
      </c>
    </row>
    <row r="63">
      <c r="A63" t="inlineStr">
        <is>
          <t>participant_id</t>
        </is>
      </c>
      <c r="B63" t="inlineStr">
        <is>
          <t>08_MERGED_ANALYSIS</t>
        </is>
      </c>
      <c r="C63" t="inlineStr">
        <is>
          <t>string</t>
        </is>
      </c>
      <c r="D63" t="inlineStr">
        <is>
          <t>FK</t>
        </is>
      </c>
      <c r="E63" t="inlineStr"/>
      <c r="F63" t="inlineStr"/>
      <c r="G63" t="inlineStr"/>
      <c r="H63" t="inlineStr"/>
      <c r="I63" t="inlineStr">
        <is>
          <t>INDEX/MATCH into 04 on observation_id</t>
        </is>
      </c>
      <c r="J63" t="inlineStr">
        <is>
          <t>Y</t>
        </is>
      </c>
    </row>
    <row r="64">
      <c r="A64" t="inlineStr">
        <is>
          <t>scenario_id</t>
        </is>
      </c>
      <c r="B64" t="inlineStr">
        <is>
          <t>08_MERGED_ANALYSIS</t>
        </is>
      </c>
      <c r="C64" t="inlineStr">
        <is>
          <t>category</t>
        </is>
      </c>
      <c r="D64" t="inlineStr">
        <is>
          <t>S1/S2</t>
        </is>
      </c>
      <c r="E64" t="inlineStr"/>
      <c r="F64" t="inlineStr"/>
      <c r="G64" t="inlineStr"/>
      <c r="H64" t="inlineStr"/>
      <c r="I64" t="inlineStr">
        <is>
          <t>INDEX/MATCH into 04 on observation_id</t>
        </is>
      </c>
      <c r="J64" t="inlineStr">
        <is>
          <t>Y</t>
        </is>
      </c>
    </row>
    <row r="65">
      <c r="A65" t="inlineStr">
        <is>
          <t>asq_q1_ease</t>
        </is>
      </c>
      <c r="B65" t="inlineStr">
        <is>
          <t>08_MERGED_ANALYSIS</t>
        </is>
      </c>
      <c r="C65" t="inlineStr">
        <is>
          <t>integer</t>
        </is>
      </c>
      <c r="D65" t="inlineStr">
        <is>
          <t>same as 04.asq_q1_ease</t>
        </is>
      </c>
      <c r="E65" t="inlineStr"/>
      <c r="F65" t="inlineStr"/>
      <c r="G65" t="inlineStr"/>
      <c r="H65" t="inlineStr"/>
      <c r="I65" t="inlineStr">
        <is>
          <t>INDEX/MATCH into 04</t>
        </is>
      </c>
      <c r="J65" t="inlineStr">
        <is>
          <t>Y</t>
        </is>
      </c>
    </row>
    <row r="66">
      <c r="A66" t="inlineStr">
        <is>
          <t>asq_q2_time</t>
        </is>
      </c>
      <c r="B66" t="inlineStr">
        <is>
          <t>08_MERGED_ANALYSIS</t>
        </is>
      </c>
      <c r="C66" t="inlineStr">
        <is>
          <t>integer</t>
        </is>
      </c>
      <c r="D66" t="inlineStr">
        <is>
          <t>same as 04.asq_q2_time</t>
        </is>
      </c>
      <c r="E66" t="inlineStr"/>
      <c r="F66" t="inlineStr"/>
      <c r="G66" t="inlineStr"/>
      <c r="H66" t="inlineStr"/>
      <c r="I66" t="inlineStr">
        <is>
          <t>INDEX/MATCH into 04</t>
        </is>
      </c>
      <c r="J66" t="inlineStr">
        <is>
          <t>Y</t>
        </is>
      </c>
    </row>
    <row r="67">
      <c r="A67" t="inlineStr">
        <is>
          <t>asq_q3_information_support</t>
        </is>
      </c>
      <c r="B67" t="inlineStr">
        <is>
          <t>08_MERGED_ANALYSIS</t>
        </is>
      </c>
      <c r="C67" t="inlineStr">
        <is>
          <t>integer</t>
        </is>
      </c>
      <c r="D67" t="inlineStr">
        <is>
          <t>same as 04.asq_q3_information_support</t>
        </is>
      </c>
      <c r="E67" t="inlineStr"/>
      <c r="F67" t="inlineStr"/>
      <c r="G67" t="inlineStr"/>
      <c r="H67" t="inlineStr"/>
      <c r="I67" t="inlineStr">
        <is>
          <t>INDEX/MATCH into 04</t>
        </is>
      </c>
      <c r="J67" t="inlineStr">
        <is>
          <t>Y</t>
        </is>
      </c>
    </row>
    <row r="68">
      <c r="A68" t="inlineStr">
        <is>
          <t>asq_mean</t>
        </is>
      </c>
      <c r="B68" t="inlineStr">
        <is>
          <t>08_MERGED_ANALYSIS</t>
        </is>
      </c>
      <c r="C68" t="inlineStr">
        <is>
          <t>decimal</t>
        </is>
      </c>
      <c r="D68" t="inlineStr">
        <is>
          <t>same as 04.asq_mean</t>
        </is>
      </c>
      <c r="E68" t="inlineStr"/>
      <c r="F68" t="inlineStr"/>
      <c r="G68" t="inlineStr"/>
      <c r="H68" t="inlineStr"/>
      <c r="I68" t="inlineStr">
        <is>
          <t>INDEX/MATCH into 04</t>
        </is>
      </c>
      <c r="J68" t="inlineStr">
        <is>
          <t>Y</t>
        </is>
      </c>
    </row>
    <row r="69">
      <c r="A69" t="inlineStr">
        <is>
          <t>task_success</t>
        </is>
      </c>
      <c r="B69" t="inlineStr">
        <is>
          <t>08_MERGED_ANALYSIS</t>
        </is>
      </c>
      <c r="C69" t="inlineStr">
        <is>
          <t>binary</t>
        </is>
      </c>
      <c r="D69" t="inlineStr">
        <is>
          <t>same as 05.task_success</t>
        </is>
      </c>
      <c r="E69" t="inlineStr"/>
      <c r="F69" t="inlineStr"/>
      <c r="G69" t="inlineStr"/>
      <c r="H69" t="inlineStr"/>
      <c r="I69" t="inlineStr">
        <is>
          <t>INDEX/MATCH into 05</t>
        </is>
      </c>
      <c r="J69" t="inlineStr">
        <is>
          <t>Y</t>
        </is>
      </c>
    </row>
    <row r="70">
      <c r="A70" t="inlineStr">
        <is>
          <t>task_status</t>
        </is>
      </c>
      <c r="B70" t="inlineStr">
        <is>
          <t>08_MERGED_ANALYSIS</t>
        </is>
      </c>
      <c r="C70" t="inlineStr">
        <is>
          <t>category</t>
        </is>
      </c>
      <c r="D70" t="inlineStr">
        <is>
          <t>same as 05.task_status</t>
        </is>
      </c>
      <c r="E70" t="inlineStr"/>
      <c r="F70" t="inlineStr"/>
      <c r="G70" t="inlineStr"/>
      <c r="H70" t="inlineStr"/>
      <c r="I70" t="inlineStr">
        <is>
          <t>INDEX/MATCH into 05</t>
        </is>
      </c>
      <c r="J70" t="inlineStr">
        <is>
          <t>Y</t>
        </is>
      </c>
    </row>
    <row r="71">
      <c r="A71" t="inlineStr">
        <is>
          <t>completion_time_sec</t>
        </is>
      </c>
      <c r="B71" t="inlineStr">
        <is>
          <t>08_MERGED_ANALYSIS</t>
        </is>
      </c>
      <c r="C71" t="inlineStr">
        <is>
          <t>numeric</t>
        </is>
      </c>
      <c r="D71" t="inlineStr">
        <is>
          <t>same as 05.completion_time_sec</t>
        </is>
      </c>
      <c r="E71" t="inlineStr"/>
      <c r="F71" t="inlineStr"/>
      <c r="G71" t="inlineStr"/>
      <c r="H71" t="inlineStr"/>
      <c r="I71" t="inlineStr">
        <is>
          <t>INDEX/MATCH into 05</t>
        </is>
      </c>
      <c r="J71" t="inlineStr">
        <is>
          <t>Y</t>
        </is>
      </c>
    </row>
    <row r="72">
      <c r="A72" t="inlineStr">
        <is>
          <t>latency_ms</t>
        </is>
      </c>
      <c r="B72" t="inlineStr">
        <is>
          <t>08_MERGED_ANALYSIS</t>
        </is>
      </c>
      <c r="C72" t="inlineStr">
        <is>
          <t>numeric</t>
        </is>
      </c>
      <c r="D72" t="inlineStr">
        <is>
          <t>same as 06.latency_ms</t>
        </is>
      </c>
      <c r="E72" t="inlineStr"/>
      <c r="F72" t="inlineStr"/>
      <c r="G72" t="inlineStr"/>
      <c r="H72" t="inlineStr"/>
      <c r="I72" t="inlineStr">
        <is>
          <t>INDEX/MATCH into 06</t>
        </is>
      </c>
      <c r="J72" t="inlineStr">
        <is>
          <t>Y</t>
        </is>
      </c>
    </row>
    <row r="73">
      <c r="A73" t="inlineStr">
        <is>
          <t>has_correct_citation</t>
        </is>
      </c>
      <c r="B73" t="inlineStr">
        <is>
          <t>08_MERGED_ANALYSIS</t>
        </is>
      </c>
      <c r="C73" t="inlineStr">
        <is>
          <t>boolean</t>
        </is>
      </c>
      <c r="D73" t="inlineStr">
        <is>
          <t>same as 07.has_correct_citation</t>
        </is>
      </c>
      <c r="E73" t="inlineStr"/>
      <c r="F73" t="inlineStr"/>
      <c r="G73" t="inlineStr"/>
      <c r="H73" t="inlineStr"/>
      <c r="I73" t="inlineStr">
        <is>
          <t>INDEX/MATCH into 07</t>
        </is>
      </c>
      <c r="J73" t="inlineStr">
        <is>
          <t>Y</t>
        </is>
      </c>
    </row>
    <row r="74">
      <c r="A74" t="inlineStr">
        <is>
          <t>complete_case_asq</t>
        </is>
      </c>
      <c r="B74" t="inlineStr">
        <is>
          <t>08_MERGED_ANALYSIS</t>
        </is>
      </c>
      <c r="C74" t="inlineStr">
        <is>
          <t>boolean</t>
        </is>
      </c>
      <c r="D74" t="inlineStr">
        <is>
          <t>TRUE iff asq_mean present</t>
        </is>
      </c>
      <c r="E74" t="inlineStr"/>
      <c r="F74" t="inlineStr"/>
      <c r="G74" t="inlineStr"/>
      <c r="H74" t="inlineStr"/>
      <c r="I74" t="inlineStr">
        <is>
          <t>formula: IF(asq_mean&lt;&gt;"",TRUE,FALSE)</t>
        </is>
      </c>
      <c r="J74" t="inlineStr">
        <is>
          <t>Y</t>
        </is>
      </c>
    </row>
    <row r="75">
      <c r="A75" t="inlineStr">
        <is>
          <t>complete_case_performance</t>
        </is>
      </c>
      <c r="B75" t="inlineStr">
        <is>
          <t>08_MERGED_ANALYSIS</t>
        </is>
      </c>
      <c r="C75" t="inlineStr">
        <is>
          <t>boolean</t>
        </is>
      </c>
      <c r="D75" t="inlineStr">
        <is>
          <t>TRUE iff task_success present</t>
        </is>
      </c>
      <c r="E75" t="inlineStr"/>
      <c r="F75" t="inlineStr"/>
      <c r="G75" t="inlineStr"/>
      <c r="H75" t="inlineStr"/>
      <c r="I75" t="inlineStr">
        <is>
          <t>formula: IF(task_success&lt;&gt;"",TRUE,FALSE)</t>
        </is>
      </c>
      <c r="J75" t="inlineStr">
        <is>
          <t>Y</t>
        </is>
      </c>
    </row>
    <row r="76">
      <c r="A76" t="inlineStr">
        <is>
          <t>paired_scenario_available</t>
        </is>
      </c>
      <c r="B76" t="inlineStr">
        <is>
          <t>08_MERGED_ANALYSIS</t>
        </is>
      </c>
      <c r="C76" t="inlineStr">
        <is>
          <t>boolean</t>
        </is>
      </c>
      <c r="D76" t="inlineStr">
        <is>
          <t>TRUE iff this participant has both an S1 and S2 row</t>
        </is>
      </c>
      <c r="E76" t="inlineStr"/>
      <c r="F76" t="inlineStr"/>
      <c r="G76" t="inlineStr"/>
      <c r="H76" t="inlineStr"/>
      <c r="I76" t="inlineStr">
        <is>
          <t>formula: COUNTIFS(participant_id range, this participant)=2</t>
        </is>
      </c>
      <c r="J76" t="inlineStr">
        <is>
          <t>Y</t>
        </is>
      </c>
    </row>
    <row r="77">
      <c r="A77" t="inlineStr">
        <is>
          <t>(various)</t>
        </is>
      </c>
      <c r="B77" t="inlineStr">
        <is>
          <t>09_STATISTICAL_SUMMARY</t>
        </is>
      </c>
      <c r="C77" t="inlineStr">
        <is>
          <t>mixed</t>
        </is>
      </c>
      <c r="D77" t="inlineStr">
        <is>
          <t>Descriptive stats, Cronbach's alpha, correlations, Wilcoxon test, reconciliation table</t>
        </is>
      </c>
      <c r="E77" t="inlineStr"/>
      <c r="F77" t="inlineStr"/>
      <c r="G77" t="inlineStr"/>
      <c r="H77" t="inlineStr">
        <is>
          <t>primary analysis output</t>
        </is>
      </c>
      <c r="I77" t="inlineStr">
        <is>
          <t>live formulas for descriptive/Cronbach/Pearson/point-biserial; Python-computed values (scipy, same methods as build_asq_scenario_excel_2026-08-02.py) for Spearman rho/p and Wilcoxon W/p, since Excel has no native exact Wilcoxon function</t>
        </is>
      </c>
      <c r="J77" t="inlineStr">
        <is>
          <t>mixed</t>
        </is>
      </c>
    </row>
    <row r="78">
      <c r="A78" t="inlineStr">
        <is>
          <t>(various)</t>
        </is>
      </c>
      <c r="B78" t="inlineStr">
        <is>
          <t>10_DATA_QUALITY</t>
        </is>
      </c>
      <c r="C78" t="inlineStr">
        <is>
          <t>mixed</t>
        </is>
      </c>
      <c r="D78" t="inlineStr">
        <is>
          <t>Automated data-quality audit checks</t>
        </is>
      </c>
      <c r="E78" t="inlineStr"/>
      <c r="F78" t="inlineStr"/>
      <c r="G78" t="inlineStr"/>
      <c r="H78" t="inlineStr"/>
      <c r="I78" t="inlineStr">
        <is>
          <t>live formulas (COUNTIFS/SUMPRODUCT) over sheets 02-08</t>
        </is>
      </c>
      <c r="J78" t="inlineStr">
        <is>
          <t>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55" customWidth="1" min="4" max="4"/>
    <col width="55" customWidth="1" min="5" max="5"/>
    <col width="39" customWidth="1" min="6" max="6"/>
    <col width="51" customWidth="1" min="7" max="7"/>
  </cols>
  <sheetData>
    <row r="1">
      <c r="A1" s="4" t="inlineStr">
        <is>
          <t>participant_id</t>
        </is>
      </c>
      <c r="B1" s="4" t="inlineStr">
        <is>
          <t>participant_code</t>
        </is>
      </c>
      <c r="C1" s="4" t="inlineStr">
        <is>
          <t>participant_group</t>
        </is>
      </c>
      <c r="D1" s="4" t="inlineStr">
        <is>
          <t>completed_s1</t>
        </is>
      </c>
      <c r="E1" s="4" t="inlineStr">
        <is>
          <t>completed_s2</t>
        </is>
      </c>
      <c r="F1" s="4" t="inlineStr">
        <is>
          <t>total_observations</t>
        </is>
      </c>
      <c r="G1" s="4" t="inlineStr">
        <is>
          <t>notes</t>
        </is>
      </c>
    </row>
    <row r="2">
      <c r="A2" t="inlineStr">
        <is>
          <t>P001</t>
        </is>
      </c>
      <c r="B2">
        <f>A2</f>
        <v/>
      </c>
      <c r="C2" t="inlineStr">
        <is>
          <t>NA</t>
        </is>
      </c>
      <c r="D2">
        <f>COUNTIFS('03_OBSERVATIONS'!$B:$B,A2,'03_OBSERVATIONS'!$C:$C,"S1")&gt;0</f>
        <v/>
      </c>
      <c r="E2">
        <f>COUNTIFS('03_OBSERVATIONS'!$B:$B,A2,'03_OBSERVATIONS'!$C:$C,"S2")&gt;0</f>
        <v/>
      </c>
      <c r="F2">
        <f>COUNTIF('03_OBSERVATIONS'!$B:$B,A2)</f>
        <v/>
      </c>
      <c r="G2" t="inlineStr"/>
    </row>
    <row r="3">
      <c r="A3" t="inlineStr">
        <is>
          <t>P002</t>
        </is>
      </c>
      <c r="B3">
        <f>A3</f>
        <v/>
      </c>
      <c r="C3" t="inlineStr">
        <is>
          <t>NA</t>
        </is>
      </c>
      <c r="D3">
        <f>COUNTIFS('03_OBSERVATIONS'!$B:$B,A3,'03_OBSERVATIONS'!$C:$C,"S1")&gt;0</f>
        <v/>
      </c>
      <c r="E3">
        <f>COUNTIFS('03_OBSERVATIONS'!$B:$B,A3,'03_OBSERVATIONS'!$C:$C,"S2")&gt;0</f>
        <v/>
      </c>
      <c r="F3">
        <f>COUNTIF('03_OBSERVATIONS'!$B:$B,A3)</f>
        <v/>
      </c>
      <c r="G3" t="inlineStr"/>
    </row>
    <row r="4">
      <c r="A4" t="inlineStr">
        <is>
          <t>P003</t>
        </is>
      </c>
      <c r="B4">
        <f>A4</f>
        <v/>
      </c>
      <c r="C4" t="inlineStr">
        <is>
          <t>NA</t>
        </is>
      </c>
      <c r="D4">
        <f>COUNTIFS('03_OBSERVATIONS'!$B:$B,A4,'03_OBSERVATIONS'!$C:$C,"S1")&gt;0</f>
        <v/>
      </c>
      <c r="E4">
        <f>COUNTIFS('03_OBSERVATIONS'!$B:$B,A4,'03_OBSERVATIONS'!$C:$C,"S2")&gt;0</f>
        <v/>
      </c>
      <c r="F4">
        <f>COUNTIF('03_OBSERVATIONS'!$B:$B,A4)</f>
        <v/>
      </c>
      <c r="G4" t="inlineStr"/>
    </row>
    <row r="5">
      <c r="A5" t="inlineStr">
        <is>
          <t>P004</t>
        </is>
      </c>
      <c r="B5">
        <f>A5</f>
        <v/>
      </c>
      <c r="C5" t="inlineStr">
        <is>
          <t>NA</t>
        </is>
      </c>
      <c r="D5">
        <f>COUNTIFS('03_OBSERVATIONS'!$B:$B,A5,'03_OBSERVATIONS'!$C:$C,"S1")&gt;0</f>
        <v/>
      </c>
      <c r="E5">
        <f>COUNTIFS('03_OBSERVATIONS'!$B:$B,A5,'03_OBSERVATIONS'!$C:$C,"S2")&gt;0</f>
        <v/>
      </c>
      <c r="F5">
        <f>COUNTIF('03_OBSERVATIONS'!$B:$B,A5)</f>
        <v/>
      </c>
      <c r="G5" t="inlineStr"/>
    </row>
    <row r="6">
      <c r="A6" t="inlineStr">
        <is>
          <t>P005</t>
        </is>
      </c>
      <c r="B6">
        <f>A6</f>
        <v/>
      </c>
      <c r="C6" t="inlineStr">
        <is>
          <t>NA</t>
        </is>
      </c>
      <c r="D6">
        <f>COUNTIFS('03_OBSERVATIONS'!$B:$B,A6,'03_OBSERVATIONS'!$C:$C,"S1")&gt;0</f>
        <v/>
      </c>
      <c r="E6">
        <f>COUNTIFS('03_OBSERVATIONS'!$B:$B,A6,'03_OBSERVATIONS'!$C:$C,"S2")&gt;0</f>
        <v/>
      </c>
      <c r="F6">
        <f>COUNTIF('03_OBSERVATIONS'!$B:$B,A6)</f>
        <v/>
      </c>
      <c r="G6" t="inlineStr"/>
    </row>
    <row r="7">
      <c r="A7" t="inlineStr">
        <is>
          <t>P006</t>
        </is>
      </c>
      <c r="B7">
        <f>A7</f>
        <v/>
      </c>
      <c r="C7" t="inlineStr">
        <is>
          <t>NA</t>
        </is>
      </c>
      <c r="D7">
        <f>COUNTIFS('03_OBSERVATIONS'!$B:$B,A7,'03_OBSERVATIONS'!$C:$C,"S1")&gt;0</f>
        <v/>
      </c>
      <c r="E7">
        <f>COUNTIFS('03_OBSERVATIONS'!$B:$B,A7,'03_OBSERVATIONS'!$C:$C,"S2")&gt;0</f>
        <v/>
      </c>
      <c r="F7">
        <f>COUNTIF('03_OBSERVATIONS'!$B:$B,A7)</f>
        <v/>
      </c>
      <c r="G7" t="inlineStr"/>
    </row>
    <row r="8">
      <c r="A8" t="inlineStr">
        <is>
          <t>P007</t>
        </is>
      </c>
      <c r="B8">
        <f>A8</f>
        <v/>
      </c>
      <c r="C8" t="inlineStr">
        <is>
          <t>NA</t>
        </is>
      </c>
      <c r="D8">
        <f>COUNTIFS('03_OBSERVATIONS'!$B:$B,A8,'03_OBSERVATIONS'!$C:$C,"S1")&gt;0</f>
        <v/>
      </c>
      <c r="E8">
        <f>COUNTIFS('03_OBSERVATIONS'!$B:$B,A8,'03_OBSERVATIONS'!$C:$C,"S2")&gt;0</f>
        <v/>
      </c>
      <c r="F8">
        <f>COUNTIF('03_OBSERVATIONS'!$B:$B,A8)</f>
        <v/>
      </c>
      <c r="G8" t="inlineStr"/>
    </row>
    <row r="9">
      <c r="A9" t="inlineStr">
        <is>
          <t>P008</t>
        </is>
      </c>
      <c r="B9">
        <f>A9</f>
        <v/>
      </c>
      <c r="C9" t="inlineStr">
        <is>
          <t>NA</t>
        </is>
      </c>
      <c r="D9">
        <f>COUNTIFS('03_OBSERVATIONS'!$B:$B,A9,'03_OBSERVATIONS'!$C:$C,"S1")&gt;0</f>
        <v/>
      </c>
      <c r="E9">
        <f>COUNTIFS('03_OBSERVATIONS'!$B:$B,A9,'03_OBSERVATIONS'!$C:$C,"S2")&gt;0</f>
        <v/>
      </c>
      <c r="F9">
        <f>COUNTIF('03_OBSERVATIONS'!$B:$B,A9)</f>
        <v/>
      </c>
      <c r="G9" t="inlineStr"/>
    </row>
    <row r="10">
      <c r="A10" t="inlineStr">
        <is>
          <t>P009</t>
        </is>
      </c>
      <c r="B10">
        <f>A10</f>
        <v/>
      </c>
      <c r="C10" t="inlineStr">
        <is>
          <t>NA</t>
        </is>
      </c>
      <c r="D10">
        <f>COUNTIFS('03_OBSERVATIONS'!$B:$B,A10,'03_OBSERVATIONS'!$C:$C,"S1")&gt;0</f>
        <v/>
      </c>
      <c r="E10">
        <f>COUNTIFS('03_OBSERVATIONS'!$B:$B,A10,'03_OBSERVATIONS'!$C:$C,"S2")&gt;0</f>
        <v/>
      </c>
      <c r="F10">
        <f>COUNTIF('03_OBSERVATIONS'!$B:$B,A10)</f>
        <v/>
      </c>
      <c r="G10" t="inlineStr"/>
    </row>
    <row r="11">
      <c r="A11" t="inlineStr">
        <is>
          <t>P010</t>
        </is>
      </c>
      <c r="B11">
        <f>A11</f>
        <v/>
      </c>
      <c r="C11" t="inlineStr">
        <is>
          <t>NA</t>
        </is>
      </c>
      <c r="D11">
        <f>COUNTIFS('03_OBSERVATIONS'!$B:$B,A11,'03_OBSERVATIONS'!$C:$C,"S1")&gt;0</f>
        <v/>
      </c>
      <c r="E11">
        <f>COUNTIFS('03_OBSERVATIONS'!$B:$B,A11,'03_OBSERVATIONS'!$C:$C,"S2")&gt;0</f>
        <v/>
      </c>
      <c r="F11">
        <f>COUNTIF('03_OBSERVATIONS'!$B:$B,A11)</f>
        <v/>
      </c>
      <c r="G11" t="inlineStr"/>
    </row>
    <row r="12">
      <c r="A12" t="inlineStr">
        <is>
          <t>P011</t>
        </is>
      </c>
      <c r="B12">
        <f>A12</f>
        <v/>
      </c>
      <c r="C12" t="inlineStr">
        <is>
          <t>NA</t>
        </is>
      </c>
      <c r="D12">
        <f>COUNTIFS('03_OBSERVATIONS'!$B:$B,A12,'03_OBSERVATIONS'!$C:$C,"S1")&gt;0</f>
        <v/>
      </c>
      <c r="E12">
        <f>COUNTIFS('03_OBSERVATIONS'!$B:$B,A12,'03_OBSERVATIONS'!$C:$C,"S2")&gt;0</f>
        <v/>
      </c>
      <c r="F12">
        <f>COUNTIF('03_OBSERVATIONS'!$B:$B,A12)</f>
        <v/>
      </c>
      <c r="G12" t="inlineStr"/>
    </row>
    <row r="13">
      <c r="A13" t="inlineStr">
        <is>
          <t>P012</t>
        </is>
      </c>
      <c r="B13">
        <f>A13</f>
        <v/>
      </c>
      <c r="C13" t="inlineStr">
        <is>
          <t>NA</t>
        </is>
      </c>
      <c r="D13">
        <f>COUNTIFS('03_OBSERVATIONS'!$B:$B,A13,'03_OBSERVATIONS'!$C:$C,"S1")&gt;0</f>
        <v/>
      </c>
      <c r="E13">
        <f>COUNTIFS('03_OBSERVATIONS'!$B:$B,A13,'03_OBSERVATIONS'!$C:$C,"S2")&gt;0</f>
        <v/>
      </c>
      <c r="F13">
        <f>COUNTIF('03_OBSERVATIONS'!$B:$B,A13)</f>
        <v/>
      </c>
      <c r="G13" t="inlineStr"/>
    </row>
    <row r="14">
      <c r="A14" t="inlineStr">
        <is>
          <t>P013</t>
        </is>
      </c>
      <c r="B14">
        <f>A14</f>
        <v/>
      </c>
      <c r="C14" t="inlineStr">
        <is>
          <t>NA</t>
        </is>
      </c>
      <c r="D14">
        <f>COUNTIFS('03_OBSERVATIONS'!$B:$B,A14,'03_OBSERVATIONS'!$C:$C,"S1")&gt;0</f>
        <v/>
      </c>
      <c r="E14">
        <f>COUNTIFS('03_OBSERVATIONS'!$B:$B,A14,'03_OBSERVATIONS'!$C:$C,"S2")&gt;0</f>
        <v/>
      </c>
      <c r="F14">
        <f>COUNTIF('03_OBSERVATIONS'!$B:$B,A14)</f>
        <v/>
      </c>
      <c r="G14" t="inlineStr"/>
    </row>
    <row r="15">
      <c r="A15" t="inlineStr">
        <is>
          <t>P014</t>
        </is>
      </c>
      <c r="B15">
        <f>A15</f>
        <v/>
      </c>
      <c r="C15" t="inlineStr">
        <is>
          <t>NA</t>
        </is>
      </c>
      <c r="D15">
        <f>COUNTIFS('03_OBSERVATIONS'!$B:$B,A15,'03_OBSERVATIONS'!$C:$C,"S1")&gt;0</f>
        <v/>
      </c>
      <c r="E15">
        <f>COUNTIFS('03_OBSERVATIONS'!$B:$B,A15,'03_OBSERVATIONS'!$C:$C,"S2")&gt;0</f>
        <v/>
      </c>
      <c r="F15">
        <f>COUNTIF('03_OBSERVATIONS'!$B:$B,A15)</f>
        <v/>
      </c>
      <c r="G15" t="inlineStr"/>
    </row>
    <row r="16">
      <c r="A16" t="inlineStr">
        <is>
          <t>P015</t>
        </is>
      </c>
      <c r="B16">
        <f>A16</f>
        <v/>
      </c>
      <c r="C16" t="inlineStr">
        <is>
          <t>NA</t>
        </is>
      </c>
      <c r="D16">
        <f>COUNTIFS('03_OBSERVATIONS'!$B:$B,A16,'03_OBSERVATIONS'!$C:$C,"S1")&gt;0</f>
        <v/>
      </c>
      <c r="E16">
        <f>COUNTIFS('03_OBSERVATIONS'!$B:$B,A16,'03_OBSERVATIONS'!$C:$C,"S2")&gt;0</f>
        <v/>
      </c>
      <c r="F16">
        <f>COUNTIF('03_OBSERVATIONS'!$B:$B,A16)</f>
        <v/>
      </c>
      <c r="G16" t="inlineStr"/>
    </row>
    <row r="17">
      <c r="A17" t="inlineStr">
        <is>
          <t>P016</t>
        </is>
      </c>
      <c r="B17">
        <f>A17</f>
        <v/>
      </c>
      <c r="C17" t="inlineStr">
        <is>
          <t>NA</t>
        </is>
      </c>
      <c r="D17">
        <f>COUNTIFS('03_OBSERVATIONS'!$B:$B,A17,'03_OBSERVATIONS'!$C:$C,"S1")&gt;0</f>
        <v/>
      </c>
      <c r="E17">
        <f>COUNTIFS('03_OBSERVATIONS'!$B:$B,A17,'03_OBSERVATIONS'!$C:$C,"S2")&gt;0</f>
        <v/>
      </c>
      <c r="F17">
        <f>COUNTIF('03_OBSERVATIONS'!$B:$B,A17)</f>
        <v/>
      </c>
      <c r="G17" t="inlineStr">
        <is>
          <t>No S2 observation on record (see 10_DATA_QUALITY)</t>
        </is>
      </c>
    </row>
    <row r="18">
      <c r="A18" t="inlineStr">
        <is>
          <t>P017</t>
        </is>
      </c>
      <c r="B18">
        <f>A18</f>
        <v/>
      </c>
      <c r="C18" t="inlineStr">
        <is>
          <t>NA</t>
        </is>
      </c>
      <c r="D18">
        <f>COUNTIFS('03_OBSERVATIONS'!$B:$B,A18,'03_OBSERVATIONS'!$C:$C,"S1")&gt;0</f>
        <v/>
      </c>
      <c r="E18">
        <f>COUNTIFS('03_OBSERVATIONS'!$B:$B,A18,'03_OBSERVATIONS'!$C:$C,"S2")&gt;0</f>
        <v/>
      </c>
      <c r="F18">
        <f>COUNTIF('03_OBSERVATIONS'!$B:$B,A18)</f>
        <v/>
      </c>
      <c r="G18" t="inlineStr"/>
    </row>
    <row r="19">
      <c r="A19" t="inlineStr">
        <is>
          <t>P018</t>
        </is>
      </c>
      <c r="B19">
        <f>A19</f>
        <v/>
      </c>
      <c r="C19" t="inlineStr">
        <is>
          <t>NA</t>
        </is>
      </c>
      <c r="D19">
        <f>COUNTIFS('03_OBSERVATIONS'!$B:$B,A19,'03_OBSERVATIONS'!$C:$C,"S1")&gt;0</f>
        <v/>
      </c>
      <c r="E19">
        <f>COUNTIFS('03_OBSERVATIONS'!$B:$B,A19,'03_OBSERVATIONS'!$C:$C,"S2")&gt;0</f>
        <v/>
      </c>
      <c r="F19">
        <f>COUNTIF('03_OBSERVATIONS'!$B:$B,A19)</f>
        <v/>
      </c>
      <c r="G19" t="inlineStr"/>
    </row>
    <row r="20">
      <c r="A20" t="inlineStr">
        <is>
          <t>P019</t>
        </is>
      </c>
      <c r="B20">
        <f>A20</f>
        <v/>
      </c>
      <c r="C20" t="inlineStr">
        <is>
          <t>NA</t>
        </is>
      </c>
      <c r="D20">
        <f>COUNTIFS('03_OBSERVATIONS'!$B:$B,A20,'03_OBSERVATIONS'!$C:$C,"S1")&gt;0</f>
        <v/>
      </c>
      <c r="E20">
        <f>COUNTIFS('03_OBSERVATIONS'!$B:$B,A20,'03_OBSERVATIONS'!$C:$C,"S2")&gt;0</f>
        <v/>
      </c>
      <c r="F20">
        <f>COUNTIF('03_OBSERVATIONS'!$B:$B,A20)</f>
        <v/>
      </c>
      <c r="G20" t="inlineStr"/>
    </row>
    <row r="21">
      <c r="A21" t="inlineStr">
        <is>
          <t>P020</t>
        </is>
      </c>
      <c r="B21">
        <f>A21</f>
        <v/>
      </c>
      <c r="C21" t="inlineStr">
        <is>
          <t>NA</t>
        </is>
      </c>
      <c r="D21">
        <f>COUNTIFS('03_OBSERVATIONS'!$B:$B,A21,'03_OBSERVATIONS'!$C:$C,"S1")&gt;0</f>
        <v/>
      </c>
      <c r="E21">
        <f>COUNTIFS('03_OBSERVATIONS'!$B:$B,A21,'03_OBSERVATIONS'!$C:$C,"S2")&gt;0</f>
        <v/>
      </c>
      <c r="F21">
        <f>COUNTIF('03_OBSERVATIONS'!$B:$B,A21)</f>
        <v/>
      </c>
      <c r="G21" t="inlineStr"/>
    </row>
    <row r="22">
      <c r="A22" t="inlineStr">
        <is>
          <t>P021</t>
        </is>
      </c>
      <c r="B22">
        <f>A22</f>
        <v/>
      </c>
      <c r="C22" t="inlineStr">
        <is>
          <t>NA</t>
        </is>
      </c>
      <c r="D22">
        <f>COUNTIFS('03_OBSERVATIONS'!$B:$B,A22,'03_OBSERVATIONS'!$C:$C,"S1")&gt;0</f>
        <v/>
      </c>
      <c r="E22">
        <f>COUNTIFS('03_OBSERVATIONS'!$B:$B,A22,'03_OBSERVATIONS'!$C:$C,"S2")&gt;0</f>
        <v/>
      </c>
      <c r="F22">
        <f>COUNTIF('03_OBSERVATIONS'!$B:$B,A22)</f>
        <v/>
      </c>
      <c r="G22" t="inlineStr"/>
    </row>
    <row r="23">
      <c r="A23" t="inlineStr">
        <is>
          <t>P022</t>
        </is>
      </c>
      <c r="B23">
        <f>A23</f>
        <v/>
      </c>
      <c r="C23" t="inlineStr">
        <is>
          <t>NA</t>
        </is>
      </c>
      <c r="D23">
        <f>COUNTIFS('03_OBSERVATIONS'!$B:$B,A23,'03_OBSERVATIONS'!$C:$C,"S1")&gt;0</f>
        <v/>
      </c>
      <c r="E23">
        <f>COUNTIFS('03_OBSERVATIONS'!$B:$B,A23,'03_OBSERVATIONS'!$C:$C,"S2")&gt;0</f>
        <v/>
      </c>
      <c r="F23">
        <f>COUNTIF('03_OBSERVATIONS'!$B:$B,A23)</f>
        <v/>
      </c>
      <c r="G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9" customWidth="1" min="4" max="4"/>
    <col width="12" customWidth="1" min="5" max="5"/>
    <col width="17" customWidth="1" min="6" max="6"/>
    <col width="15" customWidth="1" min="7" max="7"/>
    <col width="12" customWidth="1" min="8" max="8"/>
    <col width="13" customWidth="1" min="9" max="9"/>
    <col width="22" customWidth="1" min="10" max="10"/>
    <col width="45" customWidth="1" min="11" max="11"/>
    <col width="24" customWidth="1" min="12" max="12"/>
    <col width="55" customWidth="1" min="13" max="13"/>
  </cols>
  <sheetData>
    <row r="1">
      <c r="A1" s="4" t="inlineStr">
        <is>
          <t>observation_id</t>
        </is>
      </c>
      <c r="B1" s="4" t="inlineStr">
        <is>
          <t>participant_id</t>
        </is>
      </c>
      <c r="C1" s="4" t="inlineStr">
        <is>
          <t>scenario_id</t>
        </is>
      </c>
      <c r="D1" s="4" t="inlineStr">
        <is>
          <t>scenario_order</t>
        </is>
      </c>
      <c r="E1" s="4" t="inlineStr">
        <is>
          <t>session_id</t>
        </is>
      </c>
      <c r="F1" s="4" t="inlineStr">
        <is>
          <t>timestamp_start</t>
        </is>
      </c>
      <c r="G1" s="4" t="inlineStr">
        <is>
          <t>timestamp_end</t>
        </is>
      </c>
      <c r="H1" s="4" t="inlineStr">
        <is>
          <t>query_text</t>
        </is>
      </c>
      <c r="I1" s="4" t="inlineStr">
        <is>
          <t>response_id</t>
        </is>
      </c>
      <c r="J1" s="4" t="inlineStr">
        <is>
          <t>task_status</t>
        </is>
      </c>
      <c r="K1" s="4" t="inlineStr">
        <is>
          <t>data_source</t>
        </is>
      </c>
      <c r="L1" s="4" t="inlineStr">
        <is>
          <t>missing_flag</t>
        </is>
      </c>
      <c r="M1" s="4" t="inlineStr">
        <is>
          <t>missing_reason</t>
        </is>
      </c>
    </row>
    <row r="2">
      <c r="A2" t="inlineStr">
        <is>
          <t>OBS001</t>
        </is>
      </c>
      <c r="B2" t="inlineStr">
        <is>
          <t>P001</t>
        </is>
      </c>
      <c r="C2" t="inlineStr">
        <is>
          <t>S1</t>
        </is>
      </c>
      <c r="D2">
        <f>IF(C2="S1",1,2)</f>
        <v/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verified</t>
        </is>
      </c>
      <c r="K2" t="inlineStr">
        <is>
          <t>raw_joined_by_scenario.csv row 1 (r0x=R01)</t>
        </is>
      </c>
      <c r="L2">
        <f>IF(J2="",TRUE,FALSE)</f>
        <v/>
      </c>
      <c r="M2" t="inlineStr"/>
    </row>
    <row r="3">
      <c r="A3" t="inlineStr">
        <is>
          <t>OBS002</t>
        </is>
      </c>
      <c r="B3" t="inlineStr">
        <is>
          <t>P001</t>
        </is>
      </c>
      <c r="C3" t="inlineStr">
        <is>
          <t>S2</t>
        </is>
      </c>
      <c r="D3">
        <f>IF(C3="S1",1,2)</f>
        <v/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verified</t>
        </is>
      </c>
      <c r="K3" t="inlineStr">
        <is>
          <t>raw_joined_by_scenario.csv row 2 (r0x=R01)</t>
        </is>
      </c>
      <c r="L3">
        <f>IF(J3="",TRUE,FALSE)</f>
        <v/>
      </c>
      <c r="M3" t="inlineStr"/>
    </row>
    <row r="4">
      <c r="A4" t="inlineStr">
        <is>
          <t>OBS003</t>
        </is>
      </c>
      <c r="B4" t="inlineStr">
        <is>
          <t>P002</t>
        </is>
      </c>
      <c r="C4" t="inlineStr">
        <is>
          <t>S1</t>
        </is>
      </c>
      <c r="D4">
        <f>IF(C4="S1",1,2)</f>
        <v/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verified</t>
        </is>
      </c>
      <c r="K4" t="inlineStr">
        <is>
          <t>raw_joined_by_scenario.csv row 3 (r0x=R02)</t>
        </is>
      </c>
      <c r="L4">
        <f>IF(J4="",TRUE,FALSE)</f>
        <v/>
      </c>
      <c r="M4" t="inlineStr"/>
    </row>
    <row r="5">
      <c r="A5" t="inlineStr">
        <is>
          <t>OBS004</t>
        </is>
      </c>
      <c r="B5" t="inlineStr">
        <is>
          <t>P002</t>
        </is>
      </c>
      <c r="C5" t="inlineStr">
        <is>
          <t>S2</t>
        </is>
      </c>
      <c r="D5">
        <f>IF(C5="S1",1,2)</f>
        <v/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verified</t>
        </is>
      </c>
      <c r="K5" t="inlineStr">
        <is>
          <t>raw_joined_by_scenario.csv row 4 (r0x=R02)</t>
        </is>
      </c>
      <c r="L5">
        <f>IF(J5="",TRUE,FALSE)</f>
        <v/>
      </c>
      <c r="M5" t="inlineStr"/>
    </row>
    <row r="6">
      <c r="A6" t="inlineStr">
        <is>
          <t>OBS005</t>
        </is>
      </c>
      <c r="B6" t="inlineStr">
        <is>
          <t>P003</t>
        </is>
      </c>
      <c r="C6" t="inlineStr">
        <is>
          <t>S1</t>
        </is>
      </c>
      <c r="D6">
        <f>IF(C6="S1",1,2)</f>
        <v/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verified</t>
        </is>
      </c>
      <c r="K6" t="inlineStr">
        <is>
          <t>raw_joined_by_scenario.csv row 5 (r0x=R03)</t>
        </is>
      </c>
      <c r="L6">
        <f>IF(J6="",TRUE,FALSE)</f>
        <v/>
      </c>
      <c r="M6" t="inlineStr"/>
    </row>
    <row r="7">
      <c r="A7" t="inlineStr">
        <is>
          <t>OBS006</t>
        </is>
      </c>
      <c r="B7" t="inlineStr">
        <is>
          <t>P003</t>
        </is>
      </c>
      <c r="C7" t="inlineStr">
        <is>
          <t>S2</t>
        </is>
      </c>
      <c r="D7">
        <f>IF(C7="S1",1,2)</f>
        <v/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verified</t>
        </is>
      </c>
      <c r="K7" t="inlineStr">
        <is>
          <t>raw_joined_by_scenario.csv row 6 (r0x=R03)</t>
        </is>
      </c>
      <c r="L7">
        <f>IF(J7="",TRUE,FALSE)</f>
        <v/>
      </c>
      <c r="M7" t="inlineStr"/>
    </row>
    <row r="8">
      <c r="A8" t="inlineStr">
        <is>
          <t>OBS007</t>
        </is>
      </c>
      <c r="B8" t="inlineStr">
        <is>
          <t>P004</t>
        </is>
      </c>
      <c r="C8" t="inlineStr">
        <is>
          <t>S1</t>
        </is>
      </c>
      <c r="D8">
        <f>IF(C8="S1",1,2)</f>
        <v/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out_of_domain</t>
        </is>
      </c>
      <c r="K8" t="inlineStr">
        <is>
          <t>raw_joined_by_scenario.csv row 7 (r0x=R04)</t>
        </is>
      </c>
      <c r="L8">
        <f>IF(J8="",TRUE,FALSE)</f>
        <v/>
      </c>
      <c r="M8" t="inlineStr"/>
    </row>
    <row r="9">
      <c r="A9" t="inlineStr">
        <is>
          <t>OBS008</t>
        </is>
      </c>
      <c r="B9" t="inlineStr">
        <is>
          <t>P004</t>
        </is>
      </c>
      <c r="C9" t="inlineStr">
        <is>
          <t>S2</t>
        </is>
      </c>
      <c r="D9">
        <f>IF(C9="S1",1,2)</f>
        <v/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out_of_domain</t>
        </is>
      </c>
      <c r="K9" t="inlineStr">
        <is>
          <t>raw_joined_by_scenario.csv row 8 (r0x=R04)</t>
        </is>
      </c>
      <c r="L9">
        <f>IF(J9="",TRUE,FALSE)</f>
        <v/>
      </c>
      <c r="M9" t="inlineStr"/>
    </row>
    <row r="10">
      <c r="A10" t="inlineStr">
        <is>
          <t>OBS009</t>
        </is>
      </c>
      <c r="B10" t="inlineStr">
        <is>
          <t>P005</t>
        </is>
      </c>
      <c r="C10" t="inlineStr">
        <is>
          <t>S1</t>
        </is>
      </c>
      <c r="D10">
        <f>IF(C10="S1",1,2)</f>
        <v/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fallback_enforced</t>
        </is>
      </c>
      <c r="K10" t="inlineStr">
        <is>
          <t>raw_joined_by_scenario.csv row 9 (r0x=R05)</t>
        </is>
      </c>
      <c r="L10">
        <f>IF(J10="",TRUE,FALSE)</f>
        <v/>
      </c>
      <c r="M10" t="inlineStr"/>
    </row>
    <row r="11">
      <c r="A11" t="inlineStr">
        <is>
          <t>OBS010</t>
        </is>
      </c>
      <c r="B11" t="inlineStr">
        <is>
          <t>P005</t>
        </is>
      </c>
      <c r="C11" t="inlineStr">
        <is>
          <t>S2</t>
        </is>
      </c>
      <c r="D11">
        <f>IF(C11="S1",1,2)</f>
        <v/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out_of_domain</t>
        </is>
      </c>
      <c r="K11" t="inlineStr">
        <is>
          <t>raw_joined_by_scenario.csv row 10 (r0x=R05)</t>
        </is>
      </c>
      <c r="L11">
        <f>IF(J11="",TRUE,FALSE)</f>
        <v/>
      </c>
      <c r="M11" t="inlineStr"/>
    </row>
    <row r="12">
      <c r="A12" t="inlineStr">
        <is>
          <t>OBS011</t>
        </is>
      </c>
      <c r="B12" t="inlineStr">
        <is>
          <t>P006</t>
        </is>
      </c>
      <c r="C12" t="inlineStr">
        <is>
          <t>S1</t>
        </is>
      </c>
      <c r="D12">
        <f>IF(C12="S1",1,2)</f>
        <v/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/>
      <c r="K12" t="inlineStr">
        <is>
          <t>raw_joined_by_scenario.csv row 11 (r0x=R06)</t>
        </is>
      </c>
      <c r="L12">
        <f>IF(J12="",TRUE,FALSE)</f>
        <v/>
      </c>
      <c r="M12" t="inlineStr">
        <is>
          <t>no linked trace_id for this turn in the production source</t>
        </is>
      </c>
    </row>
    <row r="13">
      <c r="A13" t="inlineStr">
        <is>
          <t>OBS012</t>
        </is>
      </c>
      <c r="B13" t="inlineStr">
        <is>
          <t>P006</t>
        </is>
      </c>
      <c r="C13" t="inlineStr">
        <is>
          <t>S2</t>
        </is>
      </c>
      <c r="D13">
        <f>IF(C13="S1",1,2)</f>
        <v/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out_of_domain</t>
        </is>
      </c>
      <c r="K13" t="inlineStr">
        <is>
          <t>raw_joined_by_scenario.csv row 12 (r0x=R06)</t>
        </is>
      </c>
      <c r="L13">
        <f>IF(J13="",TRUE,FALSE)</f>
        <v/>
      </c>
      <c r="M13" t="inlineStr"/>
    </row>
    <row r="14">
      <c r="A14" t="inlineStr">
        <is>
          <t>OBS013</t>
        </is>
      </c>
      <c r="B14" t="inlineStr">
        <is>
          <t>P007</t>
        </is>
      </c>
      <c r="C14" t="inlineStr">
        <is>
          <t>S1</t>
        </is>
      </c>
      <c r="D14">
        <f>IF(C14="S1",1,2)</f>
        <v/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insufficient_context</t>
        </is>
      </c>
      <c r="K14" t="inlineStr">
        <is>
          <t>raw_joined_by_scenario.csv row 13 (r0x=R07)</t>
        </is>
      </c>
      <c r="L14">
        <f>IF(J14="",TRUE,FALSE)</f>
        <v/>
      </c>
      <c r="M14" t="inlineStr"/>
    </row>
    <row r="15">
      <c r="A15" t="inlineStr">
        <is>
          <t>OBS014</t>
        </is>
      </c>
      <c r="B15" t="inlineStr">
        <is>
          <t>P007</t>
        </is>
      </c>
      <c r="C15" t="inlineStr">
        <is>
          <t>S2</t>
        </is>
      </c>
      <c r="D15">
        <f>IF(C15="S1",1,2)</f>
        <v/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verified</t>
        </is>
      </c>
      <c r="K15" t="inlineStr">
        <is>
          <t>raw_joined_by_scenario.csv row 14 (r0x=R07)</t>
        </is>
      </c>
      <c r="L15">
        <f>IF(J15="",TRUE,FALSE)</f>
        <v/>
      </c>
      <c r="M15" t="inlineStr"/>
    </row>
    <row r="16">
      <c r="A16" t="inlineStr">
        <is>
          <t>OBS015</t>
        </is>
      </c>
      <c r="B16" t="inlineStr">
        <is>
          <t>P008</t>
        </is>
      </c>
      <c r="C16" t="inlineStr">
        <is>
          <t>S1</t>
        </is>
      </c>
      <c r="D16">
        <f>IF(C16="S1",1,2)</f>
        <v/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out_of_domain</t>
        </is>
      </c>
      <c r="K16" t="inlineStr">
        <is>
          <t>raw_joined_by_scenario.csv row 15 (r0x=R08)</t>
        </is>
      </c>
      <c r="L16">
        <f>IF(J16="",TRUE,FALSE)</f>
        <v/>
      </c>
      <c r="M16" t="inlineStr"/>
    </row>
    <row r="17">
      <c r="A17" t="inlineStr">
        <is>
          <t>OBS016</t>
        </is>
      </c>
      <c r="B17" t="inlineStr">
        <is>
          <t>P008</t>
        </is>
      </c>
      <c r="C17" t="inlineStr">
        <is>
          <t>S2</t>
        </is>
      </c>
      <c r="D17">
        <f>IF(C17="S1",1,2)</f>
        <v/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verified</t>
        </is>
      </c>
      <c r="K17" t="inlineStr">
        <is>
          <t>raw_joined_by_scenario.csv row 16 (r0x=R08)</t>
        </is>
      </c>
      <c r="L17">
        <f>IF(J17="",TRUE,FALSE)</f>
        <v/>
      </c>
      <c r="M17" t="inlineStr"/>
    </row>
    <row r="18">
      <c r="A18" t="inlineStr">
        <is>
          <t>OBS017</t>
        </is>
      </c>
      <c r="B18" t="inlineStr">
        <is>
          <t>P009</t>
        </is>
      </c>
      <c r="C18" t="inlineStr">
        <is>
          <t>S1</t>
        </is>
      </c>
      <c r="D18">
        <f>IF(C18="S1",1,2)</f>
        <v/>
      </c>
      <c r="E18" t="inlineStr">
        <is>
          <t>NA</t>
        </is>
      </c>
      <c r="F18" t="inlineStr">
        <is>
          <t>NA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out_of_domain</t>
        </is>
      </c>
      <c r="K18" t="inlineStr">
        <is>
          <t>raw_joined_by_scenario.csv row 17 (r0x=R09)</t>
        </is>
      </c>
      <c r="L18">
        <f>IF(J18="",TRUE,FALSE)</f>
        <v/>
      </c>
      <c r="M18" t="inlineStr"/>
    </row>
    <row r="19">
      <c r="A19" t="inlineStr">
        <is>
          <t>OBS018</t>
        </is>
      </c>
      <c r="B19" t="inlineStr">
        <is>
          <t>P009</t>
        </is>
      </c>
      <c r="C19" t="inlineStr">
        <is>
          <t>S2</t>
        </is>
      </c>
      <c r="D19">
        <f>IF(C19="S1",1,2)</f>
        <v/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out_of_domain</t>
        </is>
      </c>
      <c r="K19" t="inlineStr">
        <is>
          <t>raw_joined_by_scenario.csv row 18 (r0x=R09)</t>
        </is>
      </c>
      <c r="L19">
        <f>IF(J19="",TRUE,FALSE)</f>
        <v/>
      </c>
      <c r="M19" t="inlineStr"/>
    </row>
    <row r="20">
      <c r="A20" t="inlineStr">
        <is>
          <t>OBS019</t>
        </is>
      </c>
      <c r="B20" t="inlineStr">
        <is>
          <t>P010</t>
        </is>
      </c>
      <c r="C20" t="inlineStr">
        <is>
          <t>S1</t>
        </is>
      </c>
      <c r="D20">
        <f>IF(C20="S1",1,2)</f>
        <v/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insufficient_context</t>
        </is>
      </c>
      <c r="K20" t="inlineStr">
        <is>
          <t>raw_joined_by_scenario.csv row 19 (r0x=R10)</t>
        </is>
      </c>
      <c r="L20">
        <f>IF(J20="",TRUE,FALSE)</f>
        <v/>
      </c>
      <c r="M20" t="inlineStr"/>
    </row>
    <row r="21">
      <c r="A21" t="inlineStr">
        <is>
          <t>OBS020</t>
        </is>
      </c>
      <c r="B21" t="inlineStr">
        <is>
          <t>P010</t>
        </is>
      </c>
      <c r="C21" t="inlineStr">
        <is>
          <t>S2</t>
        </is>
      </c>
      <c r="D21">
        <f>IF(C21="S1",1,2)</f>
        <v/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insufficient_context</t>
        </is>
      </c>
      <c r="K21" t="inlineStr">
        <is>
          <t>raw_joined_by_scenario.csv row 20 (r0x=R10)</t>
        </is>
      </c>
      <c r="L21">
        <f>IF(J21="",TRUE,FALSE)</f>
        <v/>
      </c>
      <c r="M21" t="inlineStr"/>
    </row>
    <row r="22">
      <c r="A22" t="inlineStr">
        <is>
          <t>OBS021</t>
        </is>
      </c>
      <c r="B22" t="inlineStr">
        <is>
          <t>P011</t>
        </is>
      </c>
      <c r="C22" t="inlineStr">
        <is>
          <t>S1</t>
        </is>
      </c>
      <c r="D22">
        <f>IF(C22="S1",1,2)</f>
        <v/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insufficient_context</t>
        </is>
      </c>
      <c r="K22" t="inlineStr">
        <is>
          <t>raw_joined_by_scenario.csv row 21 (r0x=R11)</t>
        </is>
      </c>
      <c r="L22">
        <f>IF(J22="",TRUE,FALSE)</f>
        <v/>
      </c>
      <c r="M22" t="inlineStr"/>
    </row>
    <row r="23">
      <c r="A23" t="inlineStr">
        <is>
          <t>OBS022</t>
        </is>
      </c>
      <c r="B23" t="inlineStr">
        <is>
          <t>P011</t>
        </is>
      </c>
      <c r="C23" t="inlineStr">
        <is>
          <t>S2</t>
        </is>
      </c>
      <c r="D23">
        <f>IF(C23="S1",1,2)</f>
        <v/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insufficient_context</t>
        </is>
      </c>
      <c r="K23" t="inlineStr">
        <is>
          <t>raw_joined_by_scenario.csv row 22 (r0x=R11)</t>
        </is>
      </c>
      <c r="L23">
        <f>IF(J23="",TRUE,FALSE)</f>
        <v/>
      </c>
      <c r="M23" t="inlineStr"/>
    </row>
    <row r="24">
      <c r="A24" t="inlineStr">
        <is>
          <t>OBS023</t>
        </is>
      </c>
      <c r="B24" t="inlineStr">
        <is>
          <t>P012</t>
        </is>
      </c>
      <c r="C24" t="inlineStr">
        <is>
          <t>S1</t>
        </is>
      </c>
      <c r="D24">
        <f>IF(C24="S1",1,2)</f>
        <v/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needs_clarification</t>
        </is>
      </c>
      <c r="K24" t="inlineStr">
        <is>
          <t>raw_joined_by_scenario.csv row 23 (r0x=R12)</t>
        </is>
      </c>
      <c r="L24">
        <f>IF(J24="",TRUE,FALSE)</f>
        <v/>
      </c>
      <c r="M24" t="inlineStr"/>
    </row>
    <row r="25">
      <c r="A25" t="inlineStr">
        <is>
          <t>OBS024</t>
        </is>
      </c>
      <c r="B25" t="inlineStr">
        <is>
          <t>P012</t>
        </is>
      </c>
      <c r="C25" t="inlineStr">
        <is>
          <t>S2</t>
        </is>
      </c>
      <c r="D25">
        <f>IF(C25="S1",1,2)</f>
        <v/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out_of_domain</t>
        </is>
      </c>
      <c r="K25" t="inlineStr">
        <is>
          <t>raw_joined_by_scenario.csv row 24 (r0x=R12)</t>
        </is>
      </c>
      <c r="L25">
        <f>IF(J25="",TRUE,FALSE)</f>
        <v/>
      </c>
      <c r="M25" t="inlineStr"/>
    </row>
    <row r="26">
      <c r="A26" t="inlineStr">
        <is>
          <t>OBS025</t>
        </is>
      </c>
      <c r="B26" t="inlineStr">
        <is>
          <t>P013</t>
        </is>
      </c>
      <c r="C26" t="inlineStr">
        <is>
          <t>S1</t>
        </is>
      </c>
      <c r="D26">
        <f>IF(C26="S1",1,2)</f>
        <v/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insufficient_context</t>
        </is>
      </c>
      <c r="K26" t="inlineStr">
        <is>
          <t>raw_joined_by_scenario.csv row 25 (r0x=R13)</t>
        </is>
      </c>
      <c r="L26">
        <f>IF(J26="",TRUE,FALSE)</f>
        <v/>
      </c>
      <c r="M26" t="inlineStr"/>
    </row>
    <row r="27">
      <c r="A27" t="inlineStr">
        <is>
          <t>OBS026</t>
        </is>
      </c>
      <c r="B27" t="inlineStr">
        <is>
          <t>P013</t>
        </is>
      </c>
      <c r="C27" t="inlineStr">
        <is>
          <t>S2</t>
        </is>
      </c>
      <c r="D27">
        <f>IF(C27="S1",1,2)</f>
        <v/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insufficient_context</t>
        </is>
      </c>
      <c r="K27" t="inlineStr">
        <is>
          <t>raw_joined_by_scenario.csv row 26 (r0x=R13)</t>
        </is>
      </c>
      <c r="L27">
        <f>IF(J27="",TRUE,FALSE)</f>
        <v/>
      </c>
      <c r="M27" t="inlineStr"/>
    </row>
    <row r="28">
      <c r="A28" t="inlineStr">
        <is>
          <t>OBS027</t>
        </is>
      </c>
      <c r="B28" t="inlineStr">
        <is>
          <t>P014</t>
        </is>
      </c>
      <c r="C28" t="inlineStr">
        <is>
          <t>S1</t>
        </is>
      </c>
      <c r="D28">
        <f>IF(C28="S1",1,2)</f>
        <v/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verified</t>
        </is>
      </c>
      <c r="K28" t="inlineStr">
        <is>
          <t>raw_joined_by_scenario.csv row 27 (r0x=R14)</t>
        </is>
      </c>
      <c r="L28">
        <f>IF(J28="",TRUE,FALSE)</f>
        <v/>
      </c>
      <c r="M28" t="inlineStr"/>
    </row>
    <row r="29">
      <c r="A29" t="inlineStr">
        <is>
          <t>OBS028</t>
        </is>
      </c>
      <c r="B29" t="inlineStr">
        <is>
          <t>P014</t>
        </is>
      </c>
      <c r="C29" t="inlineStr">
        <is>
          <t>S2</t>
        </is>
      </c>
      <c r="D29">
        <f>IF(C29="S1",1,2)</f>
        <v/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out_of_domain</t>
        </is>
      </c>
      <c r="K29" t="inlineStr">
        <is>
          <t>raw_joined_by_scenario.csv row 28 (r0x=R14)</t>
        </is>
      </c>
      <c r="L29">
        <f>IF(J29="",TRUE,FALSE)</f>
        <v/>
      </c>
      <c r="M29" t="inlineStr"/>
    </row>
    <row r="30">
      <c r="A30" t="inlineStr">
        <is>
          <t>OBS029</t>
        </is>
      </c>
      <c r="B30" t="inlineStr">
        <is>
          <t>P015</t>
        </is>
      </c>
      <c r="C30" t="inlineStr">
        <is>
          <t>S1</t>
        </is>
      </c>
      <c r="D30">
        <f>IF(C30="S1",1,2)</f>
        <v/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verified</t>
        </is>
      </c>
      <c r="K30" t="inlineStr">
        <is>
          <t>raw_joined_by_scenario.csv row 29 (r0x=R15)</t>
        </is>
      </c>
      <c r="L30">
        <f>IF(J30="",TRUE,FALSE)</f>
        <v/>
      </c>
      <c r="M30" t="inlineStr"/>
    </row>
    <row r="31">
      <c r="A31" t="inlineStr">
        <is>
          <t>OBS030</t>
        </is>
      </c>
      <c r="B31" t="inlineStr">
        <is>
          <t>P015</t>
        </is>
      </c>
      <c r="C31" t="inlineStr">
        <is>
          <t>S2</t>
        </is>
      </c>
      <c r="D31">
        <f>IF(C31="S1",1,2)</f>
        <v/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out_of_domain</t>
        </is>
      </c>
      <c r="K31" t="inlineStr">
        <is>
          <t>raw_joined_by_scenario.csv row 30 (r0x=R15)</t>
        </is>
      </c>
      <c r="L31">
        <f>IF(J31="",TRUE,FALSE)</f>
        <v/>
      </c>
      <c r="M31" t="inlineStr"/>
    </row>
    <row r="32">
      <c r="A32" t="inlineStr">
        <is>
          <t>OBS031</t>
        </is>
      </c>
      <c r="B32" t="inlineStr">
        <is>
          <t>P016</t>
        </is>
      </c>
      <c r="C32" t="inlineStr">
        <is>
          <t>S1</t>
        </is>
      </c>
      <c r="D32">
        <f>IF(C32="S1",1,2)</f>
        <v/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verified</t>
        </is>
      </c>
      <c r="K32" t="inlineStr">
        <is>
          <t>raw_joined_by_scenario.csv row 31 (r0x=R16)</t>
        </is>
      </c>
      <c r="L32">
        <f>IF(J32="",TRUE,FALSE)</f>
        <v/>
      </c>
      <c r="M32" t="inlineStr"/>
    </row>
    <row r="33">
      <c r="A33" t="inlineStr">
        <is>
          <t>OBS032</t>
        </is>
      </c>
      <c r="B33" t="inlineStr">
        <is>
          <t>P017</t>
        </is>
      </c>
      <c r="C33" t="inlineStr">
        <is>
          <t>S1</t>
        </is>
      </c>
      <c r="D33">
        <f>IF(C33="S1",1,2)</f>
        <v/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verified</t>
        </is>
      </c>
      <c r="K33" t="inlineStr">
        <is>
          <t>raw_joined_by_scenario.csv row 32 (r0x=R17)</t>
        </is>
      </c>
      <c r="L33">
        <f>IF(J33="",TRUE,FALSE)</f>
        <v/>
      </c>
      <c r="M33" t="inlineStr"/>
    </row>
    <row r="34">
      <c r="A34" t="inlineStr">
        <is>
          <t>OBS033</t>
        </is>
      </c>
      <c r="B34" t="inlineStr">
        <is>
          <t>P017</t>
        </is>
      </c>
      <c r="C34" t="inlineStr">
        <is>
          <t>S2</t>
        </is>
      </c>
      <c r="D34">
        <f>IF(C34="S1",1,2)</f>
        <v/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verified</t>
        </is>
      </c>
      <c r="K34" t="inlineStr">
        <is>
          <t>raw_joined_by_scenario.csv row 33 (r0x=R17)</t>
        </is>
      </c>
      <c r="L34">
        <f>IF(J34="",TRUE,FALSE)</f>
        <v/>
      </c>
      <c r="M34" t="inlineStr"/>
    </row>
    <row r="35">
      <c r="A35" t="inlineStr">
        <is>
          <t>OBS034</t>
        </is>
      </c>
      <c r="B35" t="inlineStr">
        <is>
          <t>P018</t>
        </is>
      </c>
      <c r="C35" t="inlineStr">
        <is>
          <t>S1</t>
        </is>
      </c>
      <c r="D35">
        <f>IF(C35="S1",1,2)</f>
        <v/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fallback_enforced</t>
        </is>
      </c>
      <c r="K35" t="inlineStr">
        <is>
          <t>raw_joined_by_scenario.csv row 34 (r0x=R18)</t>
        </is>
      </c>
      <c r="L35">
        <f>IF(J35="",TRUE,FALSE)</f>
        <v/>
      </c>
      <c r="M35" t="inlineStr"/>
    </row>
    <row r="36">
      <c r="A36" t="inlineStr">
        <is>
          <t>OBS035</t>
        </is>
      </c>
      <c r="B36" t="inlineStr">
        <is>
          <t>P018</t>
        </is>
      </c>
      <c r="C36" t="inlineStr">
        <is>
          <t>S2</t>
        </is>
      </c>
      <c r="D36">
        <f>IF(C36="S1",1,2)</f>
        <v/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out_of_domain</t>
        </is>
      </c>
      <c r="K36" t="inlineStr">
        <is>
          <t>raw_joined_by_scenario.csv row 35 (r0x=R18)</t>
        </is>
      </c>
      <c r="L36">
        <f>IF(J36="",TRUE,FALSE)</f>
        <v/>
      </c>
      <c r="M36" t="inlineStr"/>
    </row>
    <row r="37">
      <c r="A37" t="inlineStr">
        <is>
          <t>OBS036</t>
        </is>
      </c>
      <c r="B37" t="inlineStr">
        <is>
          <t>P019</t>
        </is>
      </c>
      <c r="C37" t="inlineStr">
        <is>
          <t>S1</t>
        </is>
      </c>
      <c r="D37">
        <f>IF(C37="S1",1,2)</f>
        <v/>
      </c>
      <c r="E37" t="inlineStr">
        <is>
          <t>NA</t>
        </is>
      </c>
      <c r="F37" t="inlineStr">
        <is>
          <t>NA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verified</t>
        </is>
      </c>
      <c r="K37" t="inlineStr">
        <is>
          <t>raw_joined_by_scenario.csv row 36 (r0x=R19)</t>
        </is>
      </c>
      <c r="L37">
        <f>IF(J37="",TRUE,FALSE)</f>
        <v/>
      </c>
      <c r="M37" t="inlineStr"/>
    </row>
    <row r="38">
      <c r="A38" t="inlineStr">
        <is>
          <t>OBS037</t>
        </is>
      </c>
      <c r="B38" t="inlineStr">
        <is>
          <t>P019</t>
        </is>
      </c>
      <c r="C38" t="inlineStr">
        <is>
          <t>S2</t>
        </is>
      </c>
      <c r="D38">
        <f>IF(C38="S1",1,2)</f>
        <v/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verified</t>
        </is>
      </c>
      <c r="K38" t="inlineStr">
        <is>
          <t>raw_joined_by_scenario.csv row 37 (r0x=R19)</t>
        </is>
      </c>
      <c r="L38">
        <f>IF(J38="",TRUE,FALSE)</f>
        <v/>
      </c>
      <c r="M38" t="inlineStr"/>
    </row>
    <row r="39">
      <c r="A39" t="inlineStr">
        <is>
          <t>OBS038</t>
        </is>
      </c>
      <c r="B39" t="inlineStr">
        <is>
          <t>P020</t>
        </is>
      </c>
      <c r="C39" t="inlineStr">
        <is>
          <t>S1</t>
        </is>
      </c>
      <c r="D39">
        <f>IF(C39="S1",1,2)</f>
        <v/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verified</t>
        </is>
      </c>
      <c r="K39" t="inlineStr">
        <is>
          <t>raw_joined_by_scenario.csv row 38 (r0x=R20)</t>
        </is>
      </c>
      <c r="L39">
        <f>IF(J39="",TRUE,FALSE)</f>
        <v/>
      </c>
      <c r="M39" t="inlineStr"/>
    </row>
    <row r="40">
      <c r="A40" t="inlineStr">
        <is>
          <t>OBS039</t>
        </is>
      </c>
      <c r="B40" t="inlineStr">
        <is>
          <t>P020</t>
        </is>
      </c>
      <c r="C40" t="inlineStr">
        <is>
          <t>S2</t>
        </is>
      </c>
      <c r="D40">
        <f>IF(C40="S1",1,2)</f>
        <v/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verified</t>
        </is>
      </c>
      <c r="K40" t="inlineStr">
        <is>
          <t>raw_joined_by_scenario.csv row 39 (r0x=R20)</t>
        </is>
      </c>
      <c r="L40">
        <f>IF(J40="",TRUE,FALSE)</f>
        <v/>
      </c>
      <c r="M40" t="inlineStr"/>
    </row>
    <row r="41">
      <c r="A41" t="inlineStr">
        <is>
          <t>OBS040</t>
        </is>
      </c>
      <c r="B41" t="inlineStr">
        <is>
          <t>P021</t>
        </is>
      </c>
      <c r="C41" t="inlineStr">
        <is>
          <t>S1</t>
        </is>
      </c>
      <c r="D41">
        <f>IF(C41="S1",1,2)</f>
        <v/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out_of_domain</t>
        </is>
      </c>
      <c r="K41" t="inlineStr">
        <is>
          <t>raw_joined_by_scenario.csv row 40 (r0x=R21)</t>
        </is>
      </c>
      <c r="L41">
        <f>IF(J41="",TRUE,FALSE)</f>
        <v/>
      </c>
      <c r="M41" t="inlineStr"/>
    </row>
    <row r="42">
      <c r="A42" t="inlineStr">
        <is>
          <t>OBS041</t>
        </is>
      </c>
      <c r="B42" t="inlineStr">
        <is>
          <t>P021</t>
        </is>
      </c>
      <c r="C42" t="inlineStr">
        <is>
          <t>S2</t>
        </is>
      </c>
      <c r="D42">
        <f>IF(C42="S1",1,2)</f>
        <v/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out_of_domain</t>
        </is>
      </c>
      <c r="K42" t="inlineStr">
        <is>
          <t>raw_joined_by_scenario.csv row 41 (r0x=R21)</t>
        </is>
      </c>
      <c r="L42">
        <f>IF(J42="",TRUE,FALSE)</f>
        <v/>
      </c>
      <c r="M42" t="inlineStr"/>
    </row>
    <row r="43">
      <c r="A43" t="inlineStr">
        <is>
          <t>OBS042</t>
        </is>
      </c>
      <c r="B43" t="inlineStr">
        <is>
          <t>P022</t>
        </is>
      </c>
      <c r="C43" t="inlineStr">
        <is>
          <t>S1</t>
        </is>
      </c>
      <c r="D43">
        <f>IF(C43="S1",1,2)</f>
        <v/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needs_clarification</t>
        </is>
      </c>
      <c r="K43" t="inlineStr">
        <is>
          <t>raw_joined_by_scenario.csv row 42 (r0x=R22)</t>
        </is>
      </c>
      <c r="L43">
        <f>IF(J43="",TRUE,FALSE)</f>
        <v/>
      </c>
      <c r="M43" t="inlineStr"/>
    </row>
    <row r="44">
      <c r="A44" t="inlineStr">
        <is>
          <t>OBS043</t>
        </is>
      </c>
      <c r="B44" t="inlineStr">
        <is>
          <t>P022</t>
        </is>
      </c>
      <c r="C44" t="inlineStr">
        <is>
          <t>S2</t>
        </is>
      </c>
      <c r="D44">
        <f>IF(C44="S1",1,2)</f>
        <v/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verified</t>
        </is>
      </c>
      <c r="K44" t="inlineStr">
        <is>
          <t>raw_joined_by_scenario.csv row 43 (r0x=R22)</t>
        </is>
      </c>
      <c r="L44">
        <f>IF(J44="",TRUE,FALSE)</f>
        <v/>
      </c>
      <c r="M44" t="inlineStr"/>
    </row>
  </sheetData>
  <dataValidations count="2">
    <dataValidation sqref="C2:C44" showDropDown="0" showInputMessage="0" showErrorMessage="1" allowBlank="1" type="list">
      <formula1>"S1,S2"</formula1>
    </dataValidation>
    <dataValidation sqref="J2:J44" showDropDown="0" showInputMessage="0" showErrorMessage="1" allowBlank="1" type="list">
      <formula1>"verified,out_of_domain,insufficient_context,fallback_enforced,needs_clarification"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3" customWidth="1" min="4" max="4"/>
    <col width="13" customWidth="1" min="5" max="5"/>
    <col width="28" customWidth="1" min="6" max="6"/>
    <col width="19" customWidth="1" min="7" max="7"/>
    <col width="34" customWidth="1" min="8" max="8"/>
    <col width="11" customWidth="1" min="9" max="9"/>
  </cols>
  <sheetData>
    <row r="1">
      <c r="A1" s="4" t="inlineStr">
        <is>
          <t>observation_id</t>
        </is>
      </c>
      <c r="B1" s="4" t="inlineStr">
        <is>
          <t>participant_id</t>
        </is>
      </c>
      <c r="C1" s="4" t="inlineStr">
        <is>
          <t>scenario_id</t>
        </is>
      </c>
      <c r="D1" s="4" t="inlineStr">
        <is>
          <t>asq_q1_ease</t>
        </is>
      </c>
      <c r="E1" s="4" t="inlineStr">
        <is>
          <t>asq_q2_time</t>
        </is>
      </c>
      <c r="F1" s="4" t="inlineStr">
        <is>
          <t>asq_q3_information_support</t>
        </is>
      </c>
      <c r="G1" s="4" t="inlineStr">
        <is>
          <t>asq_mean</t>
        </is>
      </c>
      <c r="H1" s="4" t="inlineStr">
        <is>
          <t>asq_complete</t>
        </is>
      </c>
      <c r="I1" s="4" t="inlineStr">
        <is>
          <t>asq_notes</t>
        </is>
      </c>
    </row>
    <row r="2">
      <c r="A2">
        <f>'03_OBSERVATIONS'!A2</f>
        <v/>
      </c>
      <c r="B2">
        <f>'03_OBSERVATIONS'!B2</f>
        <v/>
      </c>
      <c r="C2">
        <f>'03_OBSERVATIONS'!C2</f>
        <v/>
      </c>
      <c r="D2" t="n">
        <v>7</v>
      </c>
      <c r="E2" t="n">
        <v>7</v>
      </c>
      <c r="F2" t="n">
        <v>7</v>
      </c>
      <c r="G2">
        <f>AVERAGE(D2:F2)</f>
        <v/>
      </c>
      <c r="H2">
        <f>IF(COUNT(D2:F2)=3,TRUE,FALSE)</f>
        <v/>
      </c>
      <c r="I2" t="inlineStr"/>
    </row>
    <row r="3">
      <c r="A3">
        <f>'03_OBSERVATIONS'!A3</f>
        <v/>
      </c>
      <c r="B3">
        <f>'03_OBSERVATIONS'!B3</f>
        <v/>
      </c>
      <c r="C3">
        <f>'03_OBSERVATIONS'!C3</f>
        <v/>
      </c>
      <c r="D3" t="n">
        <v>7</v>
      </c>
      <c r="E3" t="n">
        <v>7</v>
      </c>
      <c r="F3" t="n">
        <v>7</v>
      </c>
      <c r="G3">
        <f>AVERAGE(D3:F3)</f>
        <v/>
      </c>
      <c r="H3">
        <f>IF(COUNT(D3:F3)=3,TRUE,FALSE)</f>
        <v/>
      </c>
      <c r="I3" t="inlineStr"/>
    </row>
    <row r="4">
      <c r="A4">
        <f>'03_OBSERVATIONS'!A4</f>
        <v/>
      </c>
      <c r="B4">
        <f>'03_OBSERVATIONS'!B4</f>
        <v/>
      </c>
      <c r="C4">
        <f>'03_OBSERVATIONS'!C4</f>
        <v/>
      </c>
      <c r="D4" t="n">
        <v>5</v>
      </c>
      <c r="E4" t="n">
        <v>5</v>
      </c>
      <c r="F4" t="n">
        <v>6</v>
      </c>
      <c r="G4">
        <f>AVERAGE(D4:F4)</f>
        <v/>
      </c>
      <c r="H4">
        <f>IF(COUNT(D4:F4)=3,TRUE,FALSE)</f>
        <v/>
      </c>
      <c r="I4" t="inlineStr"/>
    </row>
    <row r="5">
      <c r="A5">
        <f>'03_OBSERVATIONS'!A5</f>
        <v/>
      </c>
      <c r="B5">
        <f>'03_OBSERVATIONS'!B5</f>
        <v/>
      </c>
      <c r="C5">
        <f>'03_OBSERVATIONS'!C5</f>
        <v/>
      </c>
      <c r="D5" t="n">
        <v>5</v>
      </c>
      <c r="E5" t="n">
        <v>5</v>
      </c>
      <c r="F5" t="n">
        <v>6</v>
      </c>
      <c r="G5">
        <f>AVERAGE(D5:F5)</f>
        <v/>
      </c>
      <c r="H5">
        <f>IF(COUNT(D5:F5)=3,TRUE,FALSE)</f>
        <v/>
      </c>
      <c r="I5" t="inlineStr"/>
    </row>
    <row r="6">
      <c r="A6">
        <f>'03_OBSERVATIONS'!A6</f>
        <v/>
      </c>
      <c r="B6">
        <f>'03_OBSERVATIONS'!B6</f>
        <v/>
      </c>
      <c r="C6">
        <f>'03_OBSERVATIONS'!C6</f>
        <v/>
      </c>
      <c r="D6" t="n">
        <v>7</v>
      </c>
      <c r="E6" t="n">
        <v>7</v>
      </c>
      <c r="F6" t="n">
        <v>7</v>
      </c>
      <c r="G6">
        <f>AVERAGE(D6:F6)</f>
        <v/>
      </c>
      <c r="H6">
        <f>IF(COUNT(D6:F6)=3,TRUE,FALSE)</f>
        <v/>
      </c>
      <c r="I6" t="inlineStr"/>
    </row>
    <row r="7">
      <c r="A7">
        <f>'03_OBSERVATIONS'!A7</f>
        <v/>
      </c>
      <c r="B7">
        <f>'03_OBSERVATIONS'!B7</f>
        <v/>
      </c>
      <c r="C7">
        <f>'03_OBSERVATIONS'!C7</f>
        <v/>
      </c>
      <c r="D7" t="n">
        <v>5</v>
      </c>
      <c r="E7" t="n">
        <v>5</v>
      </c>
      <c r="F7" t="n">
        <v>5</v>
      </c>
      <c r="G7">
        <f>AVERAGE(D7:F7)</f>
        <v/>
      </c>
      <c r="H7">
        <f>IF(COUNT(D7:F7)=3,TRUE,FALSE)</f>
        <v/>
      </c>
      <c r="I7" t="inlineStr"/>
    </row>
    <row r="8">
      <c r="A8">
        <f>'03_OBSERVATIONS'!A8</f>
        <v/>
      </c>
      <c r="B8">
        <f>'03_OBSERVATIONS'!B8</f>
        <v/>
      </c>
      <c r="C8">
        <f>'03_OBSERVATIONS'!C8</f>
        <v/>
      </c>
      <c r="D8" t="n">
        <v>4</v>
      </c>
      <c r="E8" t="n">
        <v>4</v>
      </c>
      <c r="F8" t="n">
        <v>4</v>
      </c>
      <c r="G8">
        <f>AVERAGE(D8:F8)</f>
        <v/>
      </c>
      <c r="H8">
        <f>IF(COUNT(D8:F8)=3,TRUE,FALSE)</f>
        <v/>
      </c>
      <c r="I8" t="inlineStr"/>
    </row>
    <row r="9">
      <c r="A9">
        <f>'03_OBSERVATIONS'!A9</f>
        <v/>
      </c>
      <c r="B9">
        <f>'03_OBSERVATIONS'!B9</f>
        <v/>
      </c>
      <c r="C9">
        <f>'03_OBSERVATIONS'!C9</f>
        <v/>
      </c>
      <c r="D9" t="n">
        <v>4</v>
      </c>
      <c r="E9" t="n">
        <v>4</v>
      </c>
      <c r="F9" t="n">
        <v>4</v>
      </c>
      <c r="G9">
        <f>AVERAGE(D9:F9)</f>
        <v/>
      </c>
      <c r="H9">
        <f>IF(COUNT(D9:F9)=3,TRUE,FALSE)</f>
        <v/>
      </c>
      <c r="I9" t="inlineStr"/>
    </row>
    <row r="10">
      <c r="A10">
        <f>'03_OBSERVATIONS'!A10</f>
        <v/>
      </c>
      <c r="B10">
        <f>'03_OBSERVATIONS'!B10</f>
        <v/>
      </c>
      <c r="C10">
        <f>'03_OBSERVATIONS'!C10</f>
        <v/>
      </c>
      <c r="D10" t="n">
        <v>7</v>
      </c>
      <c r="E10" t="n">
        <v>7</v>
      </c>
      <c r="F10" t="n">
        <v>5</v>
      </c>
      <c r="G10">
        <f>AVERAGE(D10:F10)</f>
        <v/>
      </c>
      <c r="H10">
        <f>IF(COUNT(D10:F10)=3,TRUE,FALSE)</f>
        <v/>
      </c>
      <c r="I10" t="inlineStr"/>
    </row>
    <row r="11">
      <c r="A11">
        <f>'03_OBSERVATIONS'!A11</f>
        <v/>
      </c>
      <c r="B11">
        <f>'03_OBSERVATIONS'!B11</f>
        <v/>
      </c>
      <c r="C11">
        <f>'03_OBSERVATIONS'!C11</f>
        <v/>
      </c>
      <c r="D11" t="n">
        <v>7</v>
      </c>
      <c r="E11" t="n">
        <v>7</v>
      </c>
      <c r="F11" t="n">
        <v>7</v>
      </c>
      <c r="G11">
        <f>AVERAGE(D11:F11)</f>
        <v/>
      </c>
      <c r="H11">
        <f>IF(COUNT(D11:F11)=3,TRUE,FALSE)</f>
        <v/>
      </c>
      <c r="I11" t="inlineStr"/>
    </row>
    <row r="12">
      <c r="A12">
        <f>'03_OBSERVATIONS'!A12</f>
        <v/>
      </c>
      <c r="B12">
        <f>'03_OBSERVATIONS'!B12</f>
        <v/>
      </c>
      <c r="C12">
        <f>'03_OBSERVATIONS'!C12</f>
        <v/>
      </c>
      <c r="D12" t="n">
        <v>7</v>
      </c>
      <c r="E12" t="n">
        <v>7</v>
      </c>
      <c r="F12" t="n">
        <v>7</v>
      </c>
      <c r="G12">
        <f>AVERAGE(D12:F12)</f>
        <v/>
      </c>
      <c r="H12">
        <f>IF(COUNT(D12:F12)=3,TRUE,FALSE)</f>
        <v/>
      </c>
      <c r="I12" t="inlineStr"/>
    </row>
    <row r="13">
      <c r="A13">
        <f>'03_OBSERVATIONS'!A13</f>
        <v/>
      </c>
      <c r="B13">
        <f>'03_OBSERVATIONS'!B13</f>
        <v/>
      </c>
      <c r="C13">
        <f>'03_OBSERVATIONS'!C13</f>
        <v/>
      </c>
      <c r="D13" t="n">
        <v>7</v>
      </c>
      <c r="E13" t="n">
        <v>7</v>
      </c>
      <c r="F13" t="n">
        <v>7</v>
      </c>
      <c r="G13">
        <f>AVERAGE(D13:F13)</f>
        <v/>
      </c>
      <c r="H13">
        <f>IF(COUNT(D13:F13)=3,TRUE,FALSE)</f>
        <v/>
      </c>
      <c r="I13" t="inlineStr"/>
    </row>
    <row r="14">
      <c r="A14">
        <f>'03_OBSERVATIONS'!A14</f>
        <v/>
      </c>
      <c r="B14">
        <f>'03_OBSERVATIONS'!B14</f>
        <v/>
      </c>
      <c r="C14">
        <f>'03_OBSERVATIONS'!C14</f>
        <v/>
      </c>
      <c r="D14" t="n">
        <v>4</v>
      </c>
      <c r="E14" t="n">
        <v>4</v>
      </c>
      <c r="F14" t="n">
        <v>4</v>
      </c>
      <c r="G14">
        <f>AVERAGE(D14:F14)</f>
        <v/>
      </c>
      <c r="H14">
        <f>IF(COUNT(D14:F14)=3,TRUE,FALSE)</f>
        <v/>
      </c>
      <c r="I14" t="inlineStr"/>
    </row>
    <row r="15">
      <c r="A15">
        <f>'03_OBSERVATIONS'!A15</f>
        <v/>
      </c>
      <c r="B15">
        <f>'03_OBSERVATIONS'!B15</f>
        <v/>
      </c>
      <c r="C15">
        <f>'03_OBSERVATIONS'!C15</f>
        <v/>
      </c>
      <c r="D15" t="n">
        <v>4</v>
      </c>
      <c r="E15" t="n">
        <v>4</v>
      </c>
      <c r="F15" t="n">
        <v>4</v>
      </c>
      <c r="G15">
        <f>AVERAGE(D15:F15)</f>
        <v/>
      </c>
      <c r="H15">
        <f>IF(COUNT(D15:F15)=3,TRUE,FALSE)</f>
        <v/>
      </c>
      <c r="I15" t="inlineStr"/>
    </row>
    <row r="16">
      <c r="A16">
        <f>'03_OBSERVATIONS'!A16</f>
        <v/>
      </c>
      <c r="B16">
        <f>'03_OBSERVATIONS'!B16</f>
        <v/>
      </c>
      <c r="C16">
        <f>'03_OBSERVATIONS'!C16</f>
        <v/>
      </c>
      <c r="D16" t="n">
        <v>7</v>
      </c>
      <c r="E16" t="n">
        <v>7</v>
      </c>
      <c r="F16" t="n">
        <v>6</v>
      </c>
      <c r="G16">
        <f>AVERAGE(D16:F16)</f>
        <v/>
      </c>
      <c r="H16">
        <f>IF(COUNT(D16:F16)=3,TRUE,FALSE)</f>
        <v/>
      </c>
      <c r="I16" t="inlineStr"/>
    </row>
    <row r="17">
      <c r="A17">
        <f>'03_OBSERVATIONS'!A17</f>
        <v/>
      </c>
      <c r="B17">
        <f>'03_OBSERVATIONS'!B17</f>
        <v/>
      </c>
      <c r="C17">
        <f>'03_OBSERVATIONS'!C17</f>
        <v/>
      </c>
      <c r="D17" t="n">
        <v>6</v>
      </c>
      <c r="E17" t="n">
        <v>7</v>
      </c>
      <c r="F17" t="n">
        <v>7</v>
      </c>
      <c r="G17">
        <f>AVERAGE(D17:F17)</f>
        <v/>
      </c>
      <c r="H17">
        <f>IF(COUNT(D17:F17)=3,TRUE,FALSE)</f>
        <v/>
      </c>
      <c r="I17" t="inlineStr"/>
    </row>
    <row r="18">
      <c r="A18">
        <f>'03_OBSERVATIONS'!A18</f>
        <v/>
      </c>
      <c r="B18">
        <f>'03_OBSERVATIONS'!B18</f>
        <v/>
      </c>
      <c r="C18">
        <f>'03_OBSERVATIONS'!C18</f>
        <v/>
      </c>
      <c r="D18" t="n">
        <v>7</v>
      </c>
      <c r="E18" t="n">
        <v>7</v>
      </c>
      <c r="F18" t="n">
        <v>7</v>
      </c>
      <c r="G18">
        <f>AVERAGE(D18:F18)</f>
        <v/>
      </c>
      <c r="H18">
        <f>IF(COUNT(D18:F18)=3,TRUE,FALSE)</f>
        <v/>
      </c>
      <c r="I18" t="inlineStr"/>
    </row>
    <row r="19">
      <c r="A19">
        <f>'03_OBSERVATIONS'!A19</f>
        <v/>
      </c>
      <c r="B19">
        <f>'03_OBSERVATIONS'!B19</f>
        <v/>
      </c>
      <c r="C19">
        <f>'03_OBSERVATIONS'!C19</f>
        <v/>
      </c>
      <c r="D19" t="n">
        <v>7</v>
      </c>
      <c r="E19" t="n">
        <v>7</v>
      </c>
      <c r="F19" t="n">
        <v>7</v>
      </c>
      <c r="G19">
        <f>AVERAGE(D19:F19)</f>
        <v/>
      </c>
      <c r="H19">
        <f>IF(COUNT(D19:F19)=3,TRUE,FALSE)</f>
        <v/>
      </c>
      <c r="I19" t="inlineStr"/>
    </row>
    <row r="20">
      <c r="A20">
        <f>'03_OBSERVATIONS'!A20</f>
        <v/>
      </c>
      <c r="B20">
        <f>'03_OBSERVATIONS'!B20</f>
        <v/>
      </c>
      <c r="C20">
        <f>'03_OBSERVATIONS'!C20</f>
        <v/>
      </c>
      <c r="D20" t="n">
        <v>7</v>
      </c>
      <c r="E20" t="n">
        <v>7</v>
      </c>
      <c r="F20" t="n">
        <v>7</v>
      </c>
      <c r="G20">
        <f>AVERAGE(D20:F20)</f>
        <v/>
      </c>
      <c r="H20">
        <f>IF(COUNT(D20:F20)=3,TRUE,FALSE)</f>
        <v/>
      </c>
      <c r="I20" t="inlineStr"/>
    </row>
    <row r="21">
      <c r="A21">
        <f>'03_OBSERVATIONS'!A21</f>
        <v/>
      </c>
      <c r="B21">
        <f>'03_OBSERVATIONS'!B21</f>
        <v/>
      </c>
      <c r="C21">
        <f>'03_OBSERVATIONS'!C21</f>
        <v/>
      </c>
      <c r="D21" t="n">
        <v>7</v>
      </c>
      <c r="E21" t="n">
        <v>7</v>
      </c>
      <c r="F21" t="n">
        <v>7</v>
      </c>
      <c r="G21">
        <f>AVERAGE(D21:F21)</f>
        <v/>
      </c>
      <c r="H21">
        <f>IF(COUNT(D21:F21)=3,TRUE,FALSE)</f>
        <v/>
      </c>
      <c r="I21" t="inlineStr"/>
    </row>
    <row r="22">
      <c r="A22">
        <f>'03_OBSERVATIONS'!A22</f>
        <v/>
      </c>
      <c r="B22">
        <f>'03_OBSERVATIONS'!B22</f>
        <v/>
      </c>
      <c r="C22">
        <f>'03_OBSERVATIONS'!C22</f>
        <v/>
      </c>
      <c r="D22" t="n">
        <v>6</v>
      </c>
      <c r="E22" t="n">
        <v>7</v>
      </c>
      <c r="F22" t="n">
        <v>5</v>
      </c>
      <c r="G22">
        <f>AVERAGE(D22:F22)</f>
        <v/>
      </c>
      <c r="H22">
        <f>IF(COUNT(D22:F22)=3,TRUE,FALSE)</f>
        <v/>
      </c>
      <c r="I22" t="inlineStr"/>
    </row>
    <row r="23">
      <c r="A23">
        <f>'03_OBSERVATIONS'!A23</f>
        <v/>
      </c>
      <c r="B23">
        <f>'03_OBSERVATIONS'!B23</f>
        <v/>
      </c>
      <c r="C23">
        <f>'03_OBSERVATIONS'!C23</f>
        <v/>
      </c>
      <c r="D23" t="n">
        <v>7</v>
      </c>
      <c r="E23" t="n">
        <v>6</v>
      </c>
      <c r="F23" t="n">
        <v>6</v>
      </c>
      <c r="G23">
        <f>AVERAGE(D23:F23)</f>
        <v/>
      </c>
      <c r="H23">
        <f>IF(COUNT(D23:F23)=3,TRUE,FALSE)</f>
        <v/>
      </c>
      <c r="I23" t="inlineStr"/>
    </row>
    <row r="24">
      <c r="A24">
        <f>'03_OBSERVATIONS'!A24</f>
        <v/>
      </c>
      <c r="B24">
        <f>'03_OBSERVATIONS'!B24</f>
        <v/>
      </c>
      <c r="C24">
        <f>'03_OBSERVATIONS'!C24</f>
        <v/>
      </c>
      <c r="D24" t="n">
        <v>3</v>
      </c>
      <c r="E24" t="n">
        <v>4</v>
      </c>
      <c r="F24" t="n">
        <v>4</v>
      </c>
      <c r="G24">
        <f>AVERAGE(D24:F24)</f>
        <v/>
      </c>
      <c r="H24">
        <f>IF(COUNT(D24:F24)=3,TRUE,FALSE)</f>
        <v/>
      </c>
      <c r="I24" t="inlineStr"/>
    </row>
    <row r="25">
      <c r="A25">
        <f>'03_OBSERVATIONS'!A25</f>
        <v/>
      </c>
      <c r="B25">
        <f>'03_OBSERVATIONS'!B25</f>
        <v/>
      </c>
      <c r="C25">
        <f>'03_OBSERVATIONS'!C25</f>
        <v/>
      </c>
      <c r="D25" t="n">
        <v>4</v>
      </c>
      <c r="E25" t="n">
        <v>4</v>
      </c>
      <c r="F25" t="n">
        <v>4</v>
      </c>
      <c r="G25">
        <f>AVERAGE(D25:F25)</f>
        <v/>
      </c>
      <c r="H25">
        <f>IF(COUNT(D25:F25)=3,TRUE,FALSE)</f>
        <v/>
      </c>
      <c r="I25" t="inlineStr"/>
    </row>
    <row r="26">
      <c r="A26">
        <f>'03_OBSERVATIONS'!A26</f>
        <v/>
      </c>
      <c r="B26">
        <f>'03_OBSERVATIONS'!B26</f>
        <v/>
      </c>
      <c r="C26">
        <f>'03_OBSERVATIONS'!C26</f>
        <v/>
      </c>
      <c r="D26" t="n">
        <v>2</v>
      </c>
      <c r="E26" t="n">
        <v>3</v>
      </c>
      <c r="F26" t="n">
        <v>2</v>
      </c>
      <c r="G26">
        <f>AVERAGE(D26:F26)</f>
        <v/>
      </c>
      <c r="H26">
        <f>IF(COUNT(D26:F26)=3,TRUE,FALSE)</f>
        <v/>
      </c>
      <c r="I26" t="inlineStr"/>
    </row>
    <row r="27">
      <c r="A27">
        <f>'03_OBSERVATIONS'!A27</f>
        <v/>
      </c>
      <c r="B27">
        <f>'03_OBSERVATIONS'!B27</f>
        <v/>
      </c>
      <c r="C27">
        <f>'03_OBSERVATIONS'!C27</f>
        <v/>
      </c>
      <c r="D27" t="n">
        <v>6</v>
      </c>
      <c r="E27" t="n">
        <v>7</v>
      </c>
      <c r="F27" t="n">
        <v>6</v>
      </c>
      <c r="G27">
        <f>AVERAGE(D27:F27)</f>
        <v/>
      </c>
      <c r="H27">
        <f>IF(COUNT(D27:F27)=3,TRUE,FALSE)</f>
        <v/>
      </c>
      <c r="I27" t="inlineStr"/>
    </row>
    <row r="28">
      <c r="A28">
        <f>'03_OBSERVATIONS'!A28</f>
        <v/>
      </c>
      <c r="B28">
        <f>'03_OBSERVATIONS'!B28</f>
        <v/>
      </c>
      <c r="C28">
        <f>'03_OBSERVATIONS'!C28</f>
        <v/>
      </c>
      <c r="D28" t="n">
        <v>4</v>
      </c>
      <c r="E28" t="n">
        <v>4</v>
      </c>
      <c r="F28" t="n">
        <v>4</v>
      </c>
      <c r="G28">
        <f>AVERAGE(D28:F28)</f>
        <v/>
      </c>
      <c r="H28">
        <f>IF(COUNT(D28:F28)=3,TRUE,FALSE)</f>
        <v/>
      </c>
      <c r="I28" t="inlineStr"/>
    </row>
    <row r="29">
      <c r="A29">
        <f>'03_OBSERVATIONS'!A29</f>
        <v/>
      </c>
      <c r="B29">
        <f>'03_OBSERVATIONS'!B29</f>
        <v/>
      </c>
      <c r="C29">
        <f>'03_OBSERVATIONS'!C29</f>
        <v/>
      </c>
      <c r="D29" t="n">
        <v>4</v>
      </c>
      <c r="E29" t="n">
        <v>4</v>
      </c>
      <c r="F29" t="n">
        <v>4</v>
      </c>
      <c r="G29">
        <f>AVERAGE(D29:F29)</f>
        <v/>
      </c>
      <c r="H29">
        <f>IF(COUNT(D29:F29)=3,TRUE,FALSE)</f>
        <v/>
      </c>
      <c r="I29" t="inlineStr"/>
    </row>
    <row r="30">
      <c r="A30">
        <f>'03_OBSERVATIONS'!A30</f>
        <v/>
      </c>
      <c r="B30">
        <f>'03_OBSERVATIONS'!B30</f>
        <v/>
      </c>
      <c r="C30">
        <f>'03_OBSERVATIONS'!C30</f>
        <v/>
      </c>
      <c r="D30" t="n">
        <v>6</v>
      </c>
      <c r="E30" t="n">
        <v>6</v>
      </c>
      <c r="F30" t="n">
        <v>6</v>
      </c>
      <c r="G30">
        <f>AVERAGE(D30:F30)</f>
        <v/>
      </c>
      <c r="H30">
        <f>IF(COUNT(D30:F30)=3,TRUE,FALSE)</f>
        <v/>
      </c>
      <c r="I30" t="inlineStr"/>
    </row>
    <row r="31">
      <c r="A31">
        <f>'03_OBSERVATIONS'!A31</f>
        <v/>
      </c>
      <c r="B31">
        <f>'03_OBSERVATIONS'!B31</f>
        <v/>
      </c>
      <c r="C31">
        <f>'03_OBSERVATIONS'!C31</f>
        <v/>
      </c>
      <c r="D31" t="n">
        <v>6</v>
      </c>
      <c r="E31" t="n">
        <v>6</v>
      </c>
      <c r="F31" t="n">
        <v>6</v>
      </c>
      <c r="G31">
        <f>AVERAGE(D31:F31)</f>
        <v/>
      </c>
      <c r="H31">
        <f>IF(COUNT(D31:F31)=3,TRUE,FALSE)</f>
        <v/>
      </c>
      <c r="I31" t="inlineStr"/>
    </row>
    <row r="32">
      <c r="A32">
        <f>'03_OBSERVATIONS'!A32</f>
        <v/>
      </c>
      <c r="B32">
        <f>'03_OBSERVATIONS'!B32</f>
        <v/>
      </c>
      <c r="C32">
        <f>'03_OBSERVATIONS'!C32</f>
        <v/>
      </c>
      <c r="D32" t="n">
        <v>7</v>
      </c>
      <c r="E32" t="n">
        <v>7</v>
      </c>
      <c r="F32" t="n">
        <v>7</v>
      </c>
      <c r="G32">
        <f>AVERAGE(D32:F32)</f>
        <v/>
      </c>
      <c r="H32">
        <f>IF(COUNT(D32:F32)=3,TRUE,FALSE)</f>
        <v/>
      </c>
      <c r="I32" t="inlineStr"/>
    </row>
    <row r="33">
      <c r="A33">
        <f>'03_OBSERVATIONS'!A33</f>
        <v/>
      </c>
      <c r="B33">
        <f>'03_OBSERVATIONS'!B33</f>
        <v/>
      </c>
      <c r="C33">
        <f>'03_OBSERVATIONS'!C33</f>
        <v/>
      </c>
      <c r="D33" t="n">
        <v>7</v>
      </c>
      <c r="E33" t="n">
        <v>7</v>
      </c>
      <c r="F33" t="n">
        <v>7</v>
      </c>
      <c r="G33">
        <f>AVERAGE(D33:F33)</f>
        <v/>
      </c>
      <c r="H33">
        <f>IF(COUNT(D33:F33)=3,TRUE,FALSE)</f>
        <v/>
      </c>
      <c r="I33" t="inlineStr"/>
    </row>
    <row r="34">
      <c r="A34">
        <f>'03_OBSERVATIONS'!A34</f>
        <v/>
      </c>
      <c r="B34">
        <f>'03_OBSERVATIONS'!B34</f>
        <v/>
      </c>
      <c r="C34">
        <f>'03_OBSERVATIONS'!C34</f>
        <v/>
      </c>
      <c r="D34" t="n">
        <v>7</v>
      </c>
      <c r="E34" t="n">
        <v>7</v>
      </c>
      <c r="F34" t="n">
        <v>7</v>
      </c>
      <c r="G34">
        <f>AVERAGE(D34:F34)</f>
        <v/>
      </c>
      <c r="H34">
        <f>IF(COUNT(D34:F34)=3,TRUE,FALSE)</f>
        <v/>
      </c>
      <c r="I34" t="inlineStr"/>
    </row>
    <row r="35">
      <c r="A35">
        <f>'03_OBSERVATIONS'!A35</f>
        <v/>
      </c>
      <c r="B35">
        <f>'03_OBSERVATIONS'!B35</f>
        <v/>
      </c>
      <c r="C35">
        <f>'03_OBSERVATIONS'!C35</f>
        <v/>
      </c>
      <c r="D35" t="n">
        <v>7</v>
      </c>
      <c r="E35" t="n">
        <v>7</v>
      </c>
      <c r="F35" t="n">
        <v>7</v>
      </c>
      <c r="G35">
        <f>AVERAGE(D35:F35)</f>
        <v/>
      </c>
      <c r="H35">
        <f>IF(COUNT(D35:F35)=3,TRUE,FALSE)</f>
        <v/>
      </c>
      <c r="I35" t="inlineStr"/>
    </row>
    <row r="36">
      <c r="A36">
        <f>'03_OBSERVATIONS'!A36</f>
        <v/>
      </c>
      <c r="B36">
        <f>'03_OBSERVATIONS'!B36</f>
        <v/>
      </c>
      <c r="C36">
        <f>'03_OBSERVATIONS'!C36</f>
        <v/>
      </c>
      <c r="D36" t="n">
        <v>4</v>
      </c>
      <c r="E36" t="n">
        <v>4</v>
      </c>
      <c r="F36" t="n">
        <v>4</v>
      </c>
      <c r="G36">
        <f>AVERAGE(D36:F36)</f>
        <v/>
      </c>
      <c r="H36">
        <f>IF(COUNT(D36:F36)=3,TRUE,FALSE)</f>
        <v/>
      </c>
      <c r="I36" t="inlineStr"/>
    </row>
    <row r="37">
      <c r="A37">
        <f>'03_OBSERVATIONS'!A37</f>
        <v/>
      </c>
      <c r="B37">
        <f>'03_OBSERVATIONS'!B37</f>
        <v/>
      </c>
      <c r="C37">
        <f>'03_OBSERVATIONS'!C37</f>
        <v/>
      </c>
      <c r="D37" t="n">
        <v>6</v>
      </c>
      <c r="E37" t="n">
        <v>6</v>
      </c>
      <c r="F37" t="n">
        <v>7</v>
      </c>
      <c r="G37">
        <f>AVERAGE(D37:F37)</f>
        <v/>
      </c>
      <c r="H37">
        <f>IF(COUNT(D37:F37)=3,TRUE,FALSE)</f>
        <v/>
      </c>
      <c r="I37" t="inlineStr"/>
    </row>
    <row r="38">
      <c r="A38">
        <f>'03_OBSERVATIONS'!A38</f>
        <v/>
      </c>
      <c r="B38">
        <f>'03_OBSERVATIONS'!B38</f>
        <v/>
      </c>
      <c r="C38">
        <f>'03_OBSERVATIONS'!C38</f>
        <v/>
      </c>
      <c r="D38" t="n">
        <v>4</v>
      </c>
      <c r="E38" t="n">
        <v>7</v>
      </c>
      <c r="F38" t="n">
        <v>5</v>
      </c>
      <c r="G38">
        <f>AVERAGE(D38:F38)</f>
        <v/>
      </c>
      <c r="H38">
        <f>IF(COUNT(D38:F38)=3,TRUE,FALSE)</f>
        <v/>
      </c>
      <c r="I38" t="inlineStr"/>
    </row>
    <row r="39">
      <c r="A39">
        <f>'03_OBSERVATIONS'!A39</f>
        <v/>
      </c>
      <c r="B39">
        <f>'03_OBSERVATIONS'!B39</f>
        <v/>
      </c>
      <c r="C39">
        <f>'03_OBSERVATIONS'!C39</f>
        <v/>
      </c>
      <c r="D39" t="n">
        <v>4</v>
      </c>
      <c r="E39" t="n">
        <v>4</v>
      </c>
      <c r="F39" t="n">
        <v>4</v>
      </c>
      <c r="G39">
        <f>AVERAGE(D39:F39)</f>
        <v/>
      </c>
      <c r="H39">
        <f>IF(COUNT(D39:F39)=3,TRUE,FALSE)</f>
        <v/>
      </c>
      <c r="I39" t="inlineStr"/>
    </row>
    <row r="40">
      <c r="A40">
        <f>'03_OBSERVATIONS'!A40</f>
        <v/>
      </c>
      <c r="B40">
        <f>'03_OBSERVATIONS'!B40</f>
        <v/>
      </c>
      <c r="C40">
        <f>'03_OBSERVATIONS'!C40</f>
        <v/>
      </c>
      <c r="D40" t="n">
        <v>4</v>
      </c>
      <c r="E40" t="n">
        <v>4</v>
      </c>
      <c r="F40" t="n">
        <v>4</v>
      </c>
      <c r="G40">
        <f>AVERAGE(D40:F40)</f>
        <v/>
      </c>
      <c r="H40">
        <f>IF(COUNT(D40:F40)=3,TRUE,FALSE)</f>
        <v/>
      </c>
      <c r="I40" t="inlineStr"/>
    </row>
    <row r="41">
      <c r="A41">
        <f>'03_OBSERVATIONS'!A41</f>
        <v/>
      </c>
      <c r="B41">
        <f>'03_OBSERVATIONS'!B41</f>
        <v/>
      </c>
      <c r="C41">
        <f>'03_OBSERVATIONS'!C41</f>
        <v/>
      </c>
      <c r="D41" t="n">
        <v>6</v>
      </c>
      <c r="E41" t="n">
        <v>6</v>
      </c>
      <c r="F41" t="n">
        <v>5</v>
      </c>
      <c r="G41">
        <f>AVERAGE(D41:F41)</f>
        <v/>
      </c>
      <c r="H41">
        <f>IF(COUNT(D41:F41)=3,TRUE,FALSE)</f>
        <v/>
      </c>
      <c r="I41" t="inlineStr"/>
    </row>
    <row r="42">
      <c r="A42">
        <f>'03_OBSERVATIONS'!A42</f>
        <v/>
      </c>
      <c r="B42">
        <f>'03_OBSERVATIONS'!B42</f>
        <v/>
      </c>
      <c r="C42">
        <f>'03_OBSERVATIONS'!C42</f>
        <v/>
      </c>
      <c r="D42" t="n">
        <v>7</v>
      </c>
      <c r="E42" t="n">
        <v>7</v>
      </c>
      <c r="F42" t="n">
        <v>5</v>
      </c>
      <c r="G42">
        <f>AVERAGE(D42:F42)</f>
        <v/>
      </c>
      <c r="H42">
        <f>IF(COUNT(D42:F42)=3,TRUE,FALSE)</f>
        <v/>
      </c>
      <c r="I42" t="inlineStr"/>
    </row>
    <row r="43">
      <c r="A43">
        <f>'03_OBSERVATIONS'!A43</f>
        <v/>
      </c>
      <c r="B43">
        <f>'03_OBSERVATIONS'!B43</f>
        <v/>
      </c>
      <c r="C43">
        <f>'03_OBSERVATIONS'!C43</f>
        <v/>
      </c>
      <c r="D43" t="n">
        <v>7</v>
      </c>
      <c r="E43" t="n">
        <v>7</v>
      </c>
      <c r="F43" t="n">
        <v>7</v>
      </c>
      <c r="G43">
        <f>AVERAGE(D43:F43)</f>
        <v/>
      </c>
      <c r="H43">
        <f>IF(COUNT(D43:F43)=3,TRUE,FALSE)</f>
        <v/>
      </c>
      <c r="I43" t="inlineStr"/>
    </row>
    <row r="44">
      <c r="A44">
        <f>'03_OBSERVATIONS'!A44</f>
        <v/>
      </c>
      <c r="B44">
        <f>'03_OBSERVATIONS'!B44</f>
        <v/>
      </c>
      <c r="C44">
        <f>'03_OBSERVATIONS'!C44</f>
        <v/>
      </c>
      <c r="D44" t="n">
        <v>7</v>
      </c>
      <c r="E44" t="n">
        <v>7</v>
      </c>
      <c r="F44" t="n">
        <v>7</v>
      </c>
      <c r="G44">
        <f>AVERAGE(D44:F44)</f>
        <v/>
      </c>
      <c r="H44">
        <f>IF(COUNT(D44:F44)=3,TRUE,FALSE)</f>
        <v/>
      </c>
      <c r="I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4" customWidth="1" min="4" max="4"/>
    <col width="24" customWidth="1" min="5" max="5"/>
    <col width="21" customWidth="1" min="6" max="6"/>
    <col width="54" customWidth="1" min="7" max="7"/>
    <col width="36" customWidth="1" min="8" max="8"/>
    <col width="55" customWidth="1" min="9" max="9"/>
  </cols>
  <sheetData>
    <row r="1">
      <c r="A1" s="4" t="inlineStr">
        <is>
          <t>observation_id</t>
        </is>
      </c>
      <c r="B1" s="4" t="inlineStr">
        <is>
          <t>participant_id</t>
        </is>
      </c>
      <c r="C1" s="4" t="inlineStr">
        <is>
          <t>scenario_id</t>
        </is>
      </c>
      <c r="D1" s="4" t="inlineStr">
        <is>
          <t>task_success</t>
        </is>
      </c>
      <c r="E1" s="4" t="inlineStr">
        <is>
          <t>task_status</t>
        </is>
      </c>
      <c r="F1" s="4" t="inlineStr">
        <is>
          <t>completion_time_sec</t>
        </is>
      </c>
      <c r="G1" s="4" t="inlineStr">
        <is>
          <t>completion_time_source</t>
        </is>
      </c>
      <c r="H1" s="4" t="inlineStr">
        <is>
          <t>success_evidence</t>
        </is>
      </c>
      <c r="I1" s="4" t="inlineStr">
        <is>
          <t>evaluator_notes</t>
        </is>
      </c>
    </row>
    <row r="2">
      <c r="A2">
        <f>'03_OBSERVATIONS'!A2</f>
        <v/>
      </c>
      <c r="B2">
        <f>'03_OBSERVATIONS'!B2</f>
        <v/>
      </c>
      <c r="C2">
        <f>'03_OBSERVATIONS'!C2</f>
        <v/>
      </c>
      <c r="D2" t="n">
        <v>1</v>
      </c>
      <c r="E2">
        <f>'03_OBSERVATIONS'!J2</f>
        <v/>
      </c>
      <c r="F2" t="n">
        <v>8.799037</v>
      </c>
      <c r="G2" t="inlineStr">
        <is>
          <t>proxy: ASQ-submission timestamp delta, not stopwatch</t>
        </is>
      </c>
      <c r="H2" t="inlineStr">
        <is>
          <t>answer_status=verified</t>
        </is>
      </c>
      <c r="I2" t="inlineStr"/>
    </row>
    <row r="3">
      <c r="A3">
        <f>'03_OBSERVATIONS'!A3</f>
        <v/>
      </c>
      <c r="B3">
        <f>'03_OBSERVATIONS'!B3</f>
        <v/>
      </c>
      <c r="C3">
        <f>'03_OBSERVATIONS'!C3</f>
        <v/>
      </c>
      <c r="D3" t="n">
        <v>1</v>
      </c>
      <c r="E3">
        <f>'03_OBSERVATIONS'!J3</f>
        <v/>
      </c>
      <c r="F3" t="n">
        <v>54.778502</v>
      </c>
      <c r="G3" t="inlineStr">
        <is>
          <t>proxy: ASQ-submission timestamp delta, not stopwatch</t>
        </is>
      </c>
      <c r="H3" t="inlineStr">
        <is>
          <t>answer_status=verified</t>
        </is>
      </c>
      <c r="I3" t="inlineStr"/>
    </row>
    <row r="4">
      <c r="A4">
        <f>'03_OBSERVATIONS'!A4</f>
        <v/>
      </c>
      <c r="B4">
        <f>'03_OBSERVATIONS'!B4</f>
        <v/>
      </c>
      <c r="C4">
        <f>'03_OBSERVATIONS'!C4</f>
        <v/>
      </c>
      <c r="D4" t="n">
        <v>1</v>
      </c>
      <c r="E4">
        <f>'03_OBSERVATIONS'!J4</f>
        <v/>
      </c>
      <c r="F4" t="n">
        <v>65.620526</v>
      </c>
      <c r="G4" t="inlineStr">
        <is>
          <t>proxy: ASQ-submission timestamp delta, not stopwatch</t>
        </is>
      </c>
      <c r="H4" t="inlineStr">
        <is>
          <t>answer_status=verified</t>
        </is>
      </c>
      <c r="I4" t="inlineStr"/>
    </row>
    <row r="5">
      <c r="A5">
        <f>'03_OBSERVATIONS'!A5</f>
        <v/>
      </c>
      <c r="B5">
        <f>'03_OBSERVATIONS'!B5</f>
        <v/>
      </c>
      <c r="C5">
        <f>'03_OBSERVATIONS'!C5</f>
        <v/>
      </c>
      <c r="D5" t="n">
        <v>1</v>
      </c>
      <c r="E5">
        <f>'03_OBSERVATIONS'!J5</f>
        <v/>
      </c>
      <c r="F5" t="n">
        <v>239.23709</v>
      </c>
      <c r="G5" t="inlineStr">
        <is>
          <t>proxy: ASQ-submission timestamp delta, not stopwatch</t>
        </is>
      </c>
      <c r="H5" t="inlineStr">
        <is>
          <t>answer_status=verified</t>
        </is>
      </c>
      <c r="I5" t="inlineStr"/>
    </row>
    <row r="6">
      <c r="A6">
        <f>'03_OBSERVATIONS'!A6</f>
        <v/>
      </c>
      <c r="B6">
        <f>'03_OBSERVATIONS'!B6</f>
        <v/>
      </c>
      <c r="C6">
        <f>'03_OBSERVATIONS'!C6</f>
        <v/>
      </c>
      <c r="D6" t="n">
        <v>1</v>
      </c>
      <c r="E6">
        <f>'03_OBSERVATIONS'!J6</f>
        <v/>
      </c>
      <c r="F6" t="n">
        <v>302.655777</v>
      </c>
      <c r="G6" t="inlineStr">
        <is>
          <t>proxy: ASQ-submission timestamp delta, not stopwatch</t>
        </is>
      </c>
      <c r="H6" t="inlineStr">
        <is>
          <t>answer_status=verified</t>
        </is>
      </c>
      <c r="I6" t="inlineStr"/>
    </row>
    <row r="7">
      <c r="A7">
        <f>'03_OBSERVATIONS'!A7</f>
        <v/>
      </c>
      <c r="B7">
        <f>'03_OBSERVATIONS'!B7</f>
        <v/>
      </c>
      <c r="C7">
        <f>'03_OBSERVATIONS'!C7</f>
        <v/>
      </c>
      <c r="D7" t="n">
        <v>1</v>
      </c>
      <c r="E7">
        <f>'03_OBSERVATIONS'!J7</f>
        <v/>
      </c>
      <c r="F7" t="n">
        <v>393.310365</v>
      </c>
      <c r="G7" t="inlineStr">
        <is>
          <t>proxy: ASQ-submission timestamp delta, not stopwatch</t>
        </is>
      </c>
      <c r="H7" t="inlineStr">
        <is>
          <t>answer_status=verified</t>
        </is>
      </c>
      <c r="I7" t="inlineStr"/>
    </row>
    <row r="8">
      <c r="A8">
        <f>'03_OBSERVATIONS'!A8</f>
        <v/>
      </c>
      <c r="B8">
        <f>'03_OBSERVATIONS'!B8</f>
        <v/>
      </c>
      <c r="C8">
        <f>'03_OBSERVATIONS'!C8</f>
        <v/>
      </c>
      <c r="D8" t="n">
        <v>0</v>
      </c>
      <c r="E8">
        <f>'03_OBSERVATIONS'!J8</f>
        <v/>
      </c>
      <c r="F8" t="n">
        <v>118.471904</v>
      </c>
      <c r="G8" t="inlineStr">
        <is>
          <t>proxy: ASQ-submission timestamp delta, not stopwatch</t>
        </is>
      </c>
      <c r="H8" t="inlineStr">
        <is>
          <t>answer_status=out_of_domain</t>
        </is>
      </c>
      <c r="I8" t="inlineStr"/>
    </row>
    <row r="9">
      <c r="A9">
        <f>'03_OBSERVATIONS'!A9</f>
        <v/>
      </c>
      <c r="B9">
        <f>'03_OBSERVATIONS'!B9</f>
        <v/>
      </c>
      <c r="C9">
        <f>'03_OBSERVATIONS'!C9</f>
        <v/>
      </c>
      <c r="D9" t="n">
        <v>0</v>
      </c>
      <c r="E9">
        <f>'03_OBSERVATIONS'!J9</f>
        <v/>
      </c>
      <c r="F9" t="n">
        <v>90.519215</v>
      </c>
      <c r="G9" t="inlineStr">
        <is>
          <t>proxy: ASQ-submission timestamp delta, not stopwatch</t>
        </is>
      </c>
      <c r="H9" t="inlineStr">
        <is>
          <t>answer_status=out_of_domain</t>
        </is>
      </c>
      <c r="I9" t="inlineStr"/>
    </row>
    <row r="10">
      <c r="A10">
        <f>'03_OBSERVATIONS'!A10</f>
        <v/>
      </c>
      <c r="B10">
        <f>'03_OBSERVATIONS'!B10</f>
        <v/>
      </c>
      <c r="C10">
        <f>'03_OBSERVATIONS'!C10</f>
        <v/>
      </c>
      <c r="D10" t="n">
        <v>0</v>
      </c>
      <c r="E10">
        <f>'03_OBSERVATIONS'!J10</f>
        <v/>
      </c>
      <c r="F10" t="n">
        <v>71.262827</v>
      </c>
      <c r="G10" t="inlineStr">
        <is>
          <t>proxy: ASQ-submission timestamp delta, not stopwatch</t>
        </is>
      </c>
      <c r="H10" t="inlineStr">
        <is>
          <t>answer_status=fallback_enforced</t>
        </is>
      </c>
      <c r="I10" t="inlineStr"/>
    </row>
    <row r="11">
      <c r="A11">
        <f>'03_OBSERVATIONS'!A11</f>
        <v/>
      </c>
      <c r="B11">
        <f>'03_OBSERVATIONS'!B11</f>
        <v/>
      </c>
      <c r="C11">
        <f>'03_OBSERVATIONS'!C11</f>
        <v/>
      </c>
      <c r="D11" t="n">
        <v>0</v>
      </c>
      <c r="E11">
        <f>'03_OBSERVATIONS'!J11</f>
        <v/>
      </c>
      <c r="F11" t="n">
        <v>126.195462</v>
      </c>
      <c r="G11" t="inlineStr">
        <is>
          <t>proxy: ASQ-submission timestamp delta, not stopwatch</t>
        </is>
      </c>
      <c r="H11" t="inlineStr">
        <is>
          <t>answer_status=out_of_domain</t>
        </is>
      </c>
      <c r="I11" t="inlineStr"/>
    </row>
    <row r="12">
      <c r="A12">
        <f>'03_OBSERVATIONS'!A12</f>
        <v/>
      </c>
      <c r="B12">
        <f>'03_OBSERVATIONS'!B12</f>
        <v/>
      </c>
      <c r="C12">
        <f>'03_OBSERVATIONS'!C12</f>
        <v/>
      </c>
      <c r="D12" t="inlineStr"/>
      <c r="E12">
        <f>'03_OBSERVATIONS'!J12</f>
        <v/>
      </c>
      <c r="F12" t="n">
        <v>-15.005399</v>
      </c>
      <c r="G12" t="inlineStr">
        <is>
          <t>proxy: ASQ-submission timestamp delta, not stopwatch</t>
        </is>
      </c>
      <c r="H12" t="inlineStr">
        <is>
          <t>no linked turn</t>
        </is>
      </c>
      <c r="I12" t="inlineStr">
        <is>
          <t>negative/invalid completion-time proxy (excluded from clean stats)</t>
        </is>
      </c>
    </row>
    <row r="13">
      <c r="A13">
        <f>'03_OBSERVATIONS'!A13</f>
        <v/>
      </c>
      <c r="B13">
        <f>'03_OBSERVATIONS'!B13</f>
        <v/>
      </c>
      <c r="C13">
        <f>'03_OBSERVATIONS'!C13</f>
        <v/>
      </c>
      <c r="D13" t="n">
        <v>0</v>
      </c>
      <c r="E13">
        <f>'03_OBSERVATIONS'!J13</f>
        <v/>
      </c>
      <c r="F13" t="n">
        <v>29.319702</v>
      </c>
      <c r="G13" t="inlineStr">
        <is>
          <t>proxy: ASQ-submission timestamp delta, not stopwatch</t>
        </is>
      </c>
      <c r="H13" t="inlineStr">
        <is>
          <t>answer_status=out_of_domain</t>
        </is>
      </c>
      <c r="I13" t="inlineStr"/>
    </row>
    <row r="14">
      <c r="A14">
        <f>'03_OBSERVATIONS'!A14</f>
        <v/>
      </c>
      <c r="B14">
        <f>'03_OBSERVATIONS'!B14</f>
        <v/>
      </c>
      <c r="C14">
        <f>'03_OBSERVATIONS'!C14</f>
        <v/>
      </c>
      <c r="D14" t="n">
        <v>0</v>
      </c>
      <c r="E14">
        <f>'03_OBSERVATIONS'!J14</f>
        <v/>
      </c>
      <c r="F14" t="n">
        <v>357.883766</v>
      </c>
      <c r="G14" t="inlineStr">
        <is>
          <t>proxy: ASQ-submission timestamp delta, not stopwatch</t>
        </is>
      </c>
      <c r="H14" t="inlineStr">
        <is>
          <t>answer_status=insufficient_context</t>
        </is>
      </c>
      <c r="I14" t="inlineStr"/>
    </row>
    <row r="15">
      <c r="A15">
        <f>'03_OBSERVATIONS'!A15</f>
        <v/>
      </c>
      <c r="B15">
        <f>'03_OBSERVATIONS'!B15</f>
        <v/>
      </c>
      <c r="C15">
        <f>'03_OBSERVATIONS'!C15</f>
        <v/>
      </c>
      <c r="D15" t="n">
        <v>1</v>
      </c>
      <c r="E15">
        <f>'03_OBSERVATIONS'!J15</f>
        <v/>
      </c>
      <c r="F15" t="n">
        <v>168.771147</v>
      </c>
      <c r="G15" t="inlineStr">
        <is>
          <t>proxy: ASQ-submission timestamp delta, not stopwatch</t>
        </is>
      </c>
      <c r="H15" t="inlineStr">
        <is>
          <t>answer_status=verified</t>
        </is>
      </c>
      <c r="I15" t="inlineStr"/>
    </row>
    <row r="16">
      <c r="A16">
        <f>'03_OBSERVATIONS'!A16</f>
        <v/>
      </c>
      <c r="B16">
        <f>'03_OBSERVATIONS'!B16</f>
        <v/>
      </c>
      <c r="C16">
        <f>'03_OBSERVATIONS'!C16</f>
        <v/>
      </c>
      <c r="D16" t="n">
        <v>0</v>
      </c>
      <c r="E16">
        <f>'03_OBSERVATIONS'!J16</f>
        <v/>
      </c>
      <c r="F16" t="n">
        <v>1755.758875</v>
      </c>
      <c r="G16" t="inlineStr">
        <is>
          <t>proxy: ASQ-submission timestamp delta, not stopwatch</t>
        </is>
      </c>
      <c r="H16" t="inlineStr">
        <is>
          <t>answer_status=out_of_domain</t>
        </is>
      </c>
      <c r="I16" t="inlineStr"/>
    </row>
    <row r="17">
      <c r="A17">
        <f>'03_OBSERVATIONS'!A17</f>
        <v/>
      </c>
      <c r="B17">
        <f>'03_OBSERVATIONS'!B17</f>
        <v/>
      </c>
      <c r="C17">
        <f>'03_OBSERVATIONS'!C17</f>
        <v/>
      </c>
      <c r="D17" t="n">
        <v>1</v>
      </c>
      <c r="E17">
        <f>'03_OBSERVATIONS'!J17</f>
        <v/>
      </c>
      <c r="F17" t="n">
        <v>417.868678</v>
      </c>
      <c r="G17" t="inlineStr">
        <is>
          <t>proxy: ASQ-submission timestamp delta, not stopwatch</t>
        </is>
      </c>
      <c r="H17" t="inlineStr">
        <is>
          <t>answer_status=verified</t>
        </is>
      </c>
      <c r="I17" t="inlineStr"/>
    </row>
    <row r="18">
      <c r="A18">
        <f>'03_OBSERVATIONS'!A18</f>
        <v/>
      </c>
      <c r="B18">
        <f>'03_OBSERVATIONS'!B18</f>
        <v/>
      </c>
      <c r="C18">
        <f>'03_OBSERVATIONS'!C18</f>
        <v/>
      </c>
      <c r="D18" t="n">
        <v>0</v>
      </c>
      <c r="E18">
        <f>'03_OBSERVATIONS'!J18</f>
        <v/>
      </c>
      <c r="F18" t="n">
        <v>143.08891</v>
      </c>
      <c r="G18" t="inlineStr">
        <is>
          <t>proxy: ASQ-submission timestamp delta, not stopwatch</t>
        </is>
      </c>
      <c r="H18" t="inlineStr">
        <is>
          <t>answer_status=out_of_domain</t>
        </is>
      </c>
      <c r="I18" t="inlineStr"/>
    </row>
    <row r="19">
      <c r="A19">
        <f>'03_OBSERVATIONS'!A19</f>
        <v/>
      </c>
      <c r="B19">
        <f>'03_OBSERVATIONS'!B19</f>
        <v/>
      </c>
      <c r="C19">
        <f>'03_OBSERVATIONS'!C19</f>
        <v/>
      </c>
      <c r="D19" t="n">
        <v>0</v>
      </c>
      <c r="E19">
        <f>'03_OBSERVATIONS'!J19</f>
        <v/>
      </c>
      <c r="F19" t="n">
        <v>181.806997</v>
      </c>
      <c r="G19" t="inlineStr">
        <is>
          <t>proxy: ASQ-submission timestamp delta, not stopwatch</t>
        </is>
      </c>
      <c r="H19" t="inlineStr">
        <is>
          <t>answer_status=out_of_domain</t>
        </is>
      </c>
      <c r="I19" t="inlineStr"/>
    </row>
    <row r="20">
      <c r="A20">
        <f>'03_OBSERVATIONS'!A20</f>
        <v/>
      </c>
      <c r="B20">
        <f>'03_OBSERVATIONS'!B20</f>
        <v/>
      </c>
      <c r="C20">
        <f>'03_OBSERVATIONS'!C20</f>
        <v/>
      </c>
      <c r="D20" t="n">
        <v>0</v>
      </c>
      <c r="E20">
        <f>'03_OBSERVATIONS'!J20</f>
        <v/>
      </c>
      <c r="F20" t="n">
        <v>1912.216456</v>
      </c>
      <c r="G20" t="inlineStr">
        <is>
          <t>proxy: ASQ-submission timestamp delta, not stopwatch</t>
        </is>
      </c>
      <c r="H20" t="inlineStr">
        <is>
          <t>answer_status=insufficient_context</t>
        </is>
      </c>
      <c r="I20" t="inlineStr"/>
    </row>
    <row r="21">
      <c r="A21">
        <f>'03_OBSERVATIONS'!A21</f>
        <v/>
      </c>
      <c r="B21">
        <f>'03_OBSERVATIONS'!B21</f>
        <v/>
      </c>
      <c r="C21">
        <f>'03_OBSERVATIONS'!C21</f>
        <v/>
      </c>
      <c r="D21" t="n">
        <v>0</v>
      </c>
      <c r="E21">
        <f>'03_OBSERVATIONS'!J21</f>
        <v/>
      </c>
      <c r="F21" t="n">
        <v>212.976991</v>
      </c>
      <c r="G21" t="inlineStr">
        <is>
          <t>proxy: ASQ-submission timestamp delta, not stopwatch</t>
        </is>
      </c>
      <c r="H21" t="inlineStr">
        <is>
          <t>answer_status=insufficient_context</t>
        </is>
      </c>
      <c r="I21" t="inlineStr"/>
    </row>
    <row r="22">
      <c r="A22">
        <f>'03_OBSERVATIONS'!A22</f>
        <v/>
      </c>
      <c r="B22">
        <f>'03_OBSERVATIONS'!B22</f>
        <v/>
      </c>
      <c r="C22">
        <f>'03_OBSERVATIONS'!C22</f>
        <v/>
      </c>
      <c r="D22" t="n">
        <v>0</v>
      </c>
      <c r="E22">
        <f>'03_OBSERVATIONS'!J22</f>
        <v/>
      </c>
      <c r="F22" t="n">
        <v>399.297349</v>
      </c>
      <c r="G22" t="inlineStr">
        <is>
          <t>proxy: ASQ-submission timestamp delta, not stopwatch</t>
        </is>
      </c>
      <c r="H22" t="inlineStr">
        <is>
          <t>answer_status=insufficient_context</t>
        </is>
      </c>
      <c r="I22" t="inlineStr"/>
    </row>
    <row r="23">
      <c r="A23">
        <f>'03_OBSERVATIONS'!A23</f>
        <v/>
      </c>
      <c r="B23">
        <f>'03_OBSERVATIONS'!B23</f>
        <v/>
      </c>
      <c r="C23">
        <f>'03_OBSERVATIONS'!C23</f>
        <v/>
      </c>
      <c r="D23" t="n">
        <v>0</v>
      </c>
      <c r="E23">
        <f>'03_OBSERVATIONS'!J23</f>
        <v/>
      </c>
      <c r="F23" t="n">
        <v>316.58634</v>
      </c>
      <c r="G23" t="inlineStr">
        <is>
          <t>proxy: ASQ-submission timestamp delta, not stopwatch</t>
        </is>
      </c>
      <c r="H23" t="inlineStr">
        <is>
          <t>answer_status=insufficient_context</t>
        </is>
      </c>
      <c r="I23" t="inlineStr"/>
    </row>
    <row r="24">
      <c r="A24">
        <f>'03_OBSERVATIONS'!A24</f>
        <v/>
      </c>
      <c r="B24">
        <f>'03_OBSERVATIONS'!B24</f>
        <v/>
      </c>
      <c r="C24">
        <f>'03_OBSERVATIONS'!C24</f>
        <v/>
      </c>
      <c r="D24" t="n">
        <v>0</v>
      </c>
      <c r="E24">
        <f>'03_OBSERVATIONS'!J24</f>
        <v/>
      </c>
      <c r="F24" t="n">
        <v>40.466469</v>
      </c>
      <c r="G24" t="inlineStr">
        <is>
          <t>proxy: ASQ-submission timestamp delta, not stopwatch</t>
        </is>
      </c>
      <c r="H24" t="inlineStr">
        <is>
          <t>answer_status=needs_clarification</t>
        </is>
      </c>
      <c r="I24" t="inlineStr"/>
    </row>
    <row r="25">
      <c r="A25">
        <f>'03_OBSERVATIONS'!A25</f>
        <v/>
      </c>
      <c r="B25">
        <f>'03_OBSERVATIONS'!B25</f>
        <v/>
      </c>
      <c r="C25">
        <f>'03_OBSERVATIONS'!C25</f>
        <v/>
      </c>
      <c r="D25" t="n">
        <v>0</v>
      </c>
      <c r="E25">
        <f>'03_OBSERVATIONS'!J25</f>
        <v/>
      </c>
      <c r="F25" t="n">
        <v>73.195187</v>
      </c>
      <c r="G25" t="inlineStr">
        <is>
          <t>proxy: ASQ-submission timestamp delta, not stopwatch</t>
        </is>
      </c>
      <c r="H25" t="inlineStr">
        <is>
          <t>answer_status=out_of_domain</t>
        </is>
      </c>
      <c r="I25" t="inlineStr"/>
    </row>
    <row r="26">
      <c r="A26">
        <f>'03_OBSERVATIONS'!A26</f>
        <v/>
      </c>
      <c r="B26">
        <f>'03_OBSERVATIONS'!B26</f>
        <v/>
      </c>
      <c r="C26">
        <f>'03_OBSERVATIONS'!C26</f>
        <v/>
      </c>
      <c r="D26" t="n">
        <v>0</v>
      </c>
      <c r="E26">
        <f>'03_OBSERVATIONS'!J26</f>
        <v/>
      </c>
      <c r="F26" t="n">
        <v>90.026572</v>
      </c>
      <c r="G26" t="inlineStr">
        <is>
          <t>proxy: ASQ-submission timestamp delta, not stopwatch</t>
        </is>
      </c>
      <c r="H26" t="inlineStr">
        <is>
          <t>answer_status=insufficient_context</t>
        </is>
      </c>
      <c r="I26" t="inlineStr"/>
    </row>
    <row r="27">
      <c r="A27">
        <f>'03_OBSERVATIONS'!A27</f>
        <v/>
      </c>
      <c r="B27">
        <f>'03_OBSERVATIONS'!B27</f>
        <v/>
      </c>
      <c r="C27">
        <f>'03_OBSERVATIONS'!C27</f>
        <v/>
      </c>
      <c r="D27" t="n">
        <v>0</v>
      </c>
      <c r="E27">
        <f>'03_OBSERVATIONS'!J27</f>
        <v/>
      </c>
      <c r="F27" t="n">
        <v>75.376473</v>
      </c>
      <c r="G27" t="inlineStr">
        <is>
          <t>proxy: ASQ-submission timestamp delta, not stopwatch</t>
        </is>
      </c>
      <c r="H27" t="inlineStr">
        <is>
          <t>answer_status=insufficient_context</t>
        </is>
      </c>
      <c r="I27" t="inlineStr"/>
    </row>
    <row r="28">
      <c r="A28">
        <f>'03_OBSERVATIONS'!A28</f>
        <v/>
      </c>
      <c r="B28">
        <f>'03_OBSERVATIONS'!B28</f>
        <v/>
      </c>
      <c r="C28">
        <f>'03_OBSERVATIONS'!C28</f>
        <v/>
      </c>
      <c r="D28" t="n">
        <v>1</v>
      </c>
      <c r="E28">
        <f>'03_OBSERVATIONS'!J28</f>
        <v/>
      </c>
      <c r="F28" t="n">
        <v>337.893801</v>
      </c>
      <c r="G28" t="inlineStr">
        <is>
          <t>proxy: ASQ-submission timestamp delta, not stopwatch</t>
        </is>
      </c>
      <c r="H28" t="inlineStr">
        <is>
          <t>answer_status=verified</t>
        </is>
      </c>
      <c r="I28" t="inlineStr"/>
    </row>
    <row r="29">
      <c r="A29">
        <f>'03_OBSERVATIONS'!A29</f>
        <v/>
      </c>
      <c r="B29">
        <f>'03_OBSERVATIONS'!B29</f>
        <v/>
      </c>
      <c r="C29">
        <f>'03_OBSERVATIONS'!C29</f>
        <v/>
      </c>
      <c r="D29" t="n">
        <v>0</v>
      </c>
      <c r="E29">
        <f>'03_OBSERVATIONS'!J29</f>
        <v/>
      </c>
      <c r="F29" t="n">
        <v>149.683394</v>
      </c>
      <c r="G29" t="inlineStr">
        <is>
          <t>proxy: ASQ-submission timestamp delta, not stopwatch</t>
        </is>
      </c>
      <c r="H29" t="inlineStr">
        <is>
          <t>answer_status=out_of_domain</t>
        </is>
      </c>
      <c r="I29" t="inlineStr"/>
    </row>
    <row r="30">
      <c r="A30">
        <f>'03_OBSERVATIONS'!A30</f>
        <v/>
      </c>
      <c r="B30">
        <f>'03_OBSERVATIONS'!B30</f>
        <v/>
      </c>
      <c r="C30">
        <f>'03_OBSERVATIONS'!C30</f>
        <v/>
      </c>
      <c r="D30" t="n">
        <v>1</v>
      </c>
      <c r="E30">
        <f>'03_OBSERVATIONS'!J30</f>
        <v/>
      </c>
      <c r="F30" t="n">
        <v>147.678419</v>
      </c>
      <c r="G30" t="inlineStr">
        <is>
          <t>proxy: ASQ-submission timestamp delta, not stopwatch</t>
        </is>
      </c>
      <c r="H30" t="inlineStr">
        <is>
          <t>answer_status=verified</t>
        </is>
      </c>
      <c r="I30" t="inlineStr"/>
    </row>
    <row r="31">
      <c r="A31">
        <f>'03_OBSERVATIONS'!A31</f>
        <v/>
      </c>
      <c r="B31">
        <f>'03_OBSERVATIONS'!B31</f>
        <v/>
      </c>
      <c r="C31">
        <f>'03_OBSERVATIONS'!C31</f>
        <v/>
      </c>
      <c r="D31" t="n">
        <v>0</v>
      </c>
      <c r="E31">
        <f>'03_OBSERVATIONS'!J31</f>
        <v/>
      </c>
      <c r="F31" t="n">
        <v>87.386274</v>
      </c>
      <c r="G31" t="inlineStr">
        <is>
          <t>proxy: ASQ-submission timestamp delta, not stopwatch</t>
        </is>
      </c>
      <c r="H31" t="inlineStr">
        <is>
          <t>answer_status=out_of_domain</t>
        </is>
      </c>
      <c r="I31" t="inlineStr"/>
    </row>
    <row r="32">
      <c r="A32">
        <f>'03_OBSERVATIONS'!A32</f>
        <v/>
      </c>
      <c r="B32">
        <f>'03_OBSERVATIONS'!B32</f>
        <v/>
      </c>
      <c r="C32">
        <f>'03_OBSERVATIONS'!C32</f>
        <v/>
      </c>
      <c r="D32" t="n">
        <v>1</v>
      </c>
      <c r="E32">
        <f>'03_OBSERVATIONS'!J32</f>
        <v/>
      </c>
      <c r="F32" t="n">
        <v>330.355881</v>
      </c>
      <c r="G32" t="inlineStr">
        <is>
          <t>proxy: ASQ-submission timestamp delta, not stopwatch</t>
        </is>
      </c>
      <c r="H32" t="inlineStr">
        <is>
          <t>answer_status=verified</t>
        </is>
      </c>
      <c r="I32" t="inlineStr"/>
    </row>
    <row r="33">
      <c r="A33">
        <f>'03_OBSERVATIONS'!A33</f>
        <v/>
      </c>
      <c r="B33">
        <f>'03_OBSERVATIONS'!B33</f>
        <v/>
      </c>
      <c r="C33">
        <f>'03_OBSERVATIONS'!C33</f>
        <v/>
      </c>
      <c r="D33" t="n">
        <v>1</v>
      </c>
      <c r="E33">
        <f>'03_OBSERVATIONS'!J33</f>
        <v/>
      </c>
      <c r="F33" t="n">
        <v>15469.87297</v>
      </c>
      <c r="G33" t="inlineStr">
        <is>
          <t>proxy: ASQ-submission timestamp delta, not stopwatch</t>
        </is>
      </c>
      <c r="H33" t="inlineStr">
        <is>
          <t>answer_status=verified</t>
        </is>
      </c>
      <c r="I33" t="inlineStr">
        <is>
          <t>&gt;1h outlier, excluded from clean completion-time stats</t>
        </is>
      </c>
    </row>
    <row r="34">
      <c r="A34">
        <f>'03_OBSERVATIONS'!A34</f>
        <v/>
      </c>
      <c r="B34">
        <f>'03_OBSERVATIONS'!B34</f>
        <v/>
      </c>
      <c r="C34">
        <f>'03_OBSERVATIONS'!C34</f>
        <v/>
      </c>
      <c r="D34" t="n">
        <v>1</v>
      </c>
      <c r="E34">
        <f>'03_OBSERVATIONS'!J34</f>
        <v/>
      </c>
      <c r="F34" t="n">
        <v>397.742421</v>
      </c>
      <c r="G34" t="inlineStr">
        <is>
          <t>proxy: ASQ-submission timestamp delta, not stopwatch</t>
        </is>
      </c>
      <c r="H34" t="inlineStr">
        <is>
          <t>answer_status=verified</t>
        </is>
      </c>
      <c r="I34" t="inlineStr"/>
    </row>
    <row r="35">
      <c r="A35">
        <f>'03_OBSERVATIONS'!A35</f>
        <v/>
      </c>
      <c r="B35">
        <f>'03_OBSERVATIONS'!B35</f>
        <v/>
      </c>
      <c r="C35">
        <f>'03_OBSERVATIONS'!C35</f>
        <v/>
      </c>
      <c r="D35" t="n">
        <v>0</v>
      </c>
      <c r="E35">
        <f>'03_OBSERVATIONS'!J35</f>
        <v/>
      </c>
      <c r="F35" t="n">
        <v>1092.119425</v>
      </c>
      <c r="G35" t="inlineStr">
        <is>
          <t>proxy: ASQ-submission timestamp delta, not stopwatch</t>
        </is>
      </c>
      <c r="H35" t="inlineStr">
        <is>
          <t>answer_status=fallback_enforced</t>
        </is>
      </c>
      <c r="I35" t="inlineStr"/>
    </row>
    <row r="36">
      <c r="A36">
        <f>'03_OBSERVATIONS'!A36</f>
        <v/>
      </c>
      <c r="B36">
        <f>'03_OBSERVATIONS'!B36</f>
        <v/>
      </c>
      <c r="C36">
        <f>'03_OBSERVATIONS'!C36</f>
        <v/>
      </c>
      <c r="D36" t="n">
        <v>0</v>
      </c>
      <c r="E36">
        <f>'03_OBSERVATIONS'!J36</f>
        <v/>
      </c>
      <c r="F36" t="n">
        <v>166.951117</v>
      </c>
      <c r="G36" t="inlineStr">
        <is>
          <t>proxy: ASQ-submission timestamp delta, not stopwatch</t>
        </is>
      </c>
      <c r="H36" t="inlineStr">
        <is>
          <t>answer_status=out_of_domain</t>
        </is>
      </c>
      <c r="I36" t="inlineStr"/>
    </row>
    <row r="37">
      <c r="A37">
        <f>'03_OBSERVATIONS'!A37</f>
        <v/>
      </c>
      <c r="B37">
        <f>'03_OBSERVATIONS'!B37</f>
        <v/>
      </c>
      <c r="C37">
        <f>'03_OBSERVATIONS'!C37</f>
        <v/>
      </c>
      <c r="D37" t="n">
        <v>1</v>
      </c>
      <c r="E37">
        <f>'03_OBSERVATIONS'!J37</f>
        <v/>
      </c>
      <c r="F37" t="n">
        <v>244.596288</v>
      </c>
      <c r="G37" t="inlineStr">
        <is>
          <t>proxy: ASQ-submission timestamp delta, not stopwatch</t>
        </is>
      </c>
      <c r="H37" t="inlineStr">
        <is>
          <t>answer_status=verified</t>
        </is>
      </c>
      <c r="I37" t="inlineStr"/>
    </row>
    <row r="38">
      <c r="A38">
        <f>'03_OBSERVATIONS'!A38</f>
        <v/>
      </c>
      <c r="B38">
        <f>'03_OBSERVATIONS'!B38</f>
        <v/>
      </c>
      <c r="C38">
        <f>'03_OBSERVATIONS'!C38</f>
        <v/>
      </c>
      <c r="D38" t="n">
        <v>1</v>
      </c>
      <c r="E38">
        <f>'03_OBSERVATIONS'!J38</f>
        <v/>
      </c>
      <c r="F38" t="n">
        <v>292.044386</v>
      </c>
      <c r="G38" t="inlineStr">
        <is>
          <t>proxy: ASQ-submission timestamp delta, not stopwatch</t>
        </is>
      </c>
      <c r="H38" t="inlineStr">
        <is>
          <t>answer_status=verified</t>
        </is>
      </c>
      <c r="I38" t="inlineStr"/>
    </row>
    <row r="39">
      <c r="A39">
        <f>'03_OBSERVATIONS'!A39</f>
        <v/>
      </c>
      <c r="B39">
        <f>'03_OBSERVATIONS'!B39</f>
        <v/>
      </c>
      <c r="C39">
        <f>'03_OBSERVATIONS'!C39</f>
        <v/>
      </c>
      <c r="D39" t="n">
        <v>1</v>
      </c>
      <c r="E39">
        <f>'03_OBSERVATIONS'!J39</f>
        <v/>
      </c>
      <c r="F39" t="n">
        <v>10.748128</v>
      </c>
      <c r="G39" t="inlineStr">
        <is>
          <t>proxy: ASQ-submission timestamp delta, not stopwatch</t>
        </is>
      </c>
      <c r="H39" t="inlineStr">
        <is>
          <t>answer_status=verified</t>
        </is>
      </c>
      <c r="I39" t="inlineStr"/>
    </row>
    <row r="40">
      <c r="A40">
        <f>'03_OBSERVATIONS'!A40</f>
        <v/>
      </c>
      <c r="B40">
        <f>'03_OBSERVATIONS'!B40</f>
        <v/>
      </c>
      <c r="C40">
        <f>'03_OBSERVATIONS'!C40</f>
        <v/>
      </c>
      <c r="D40" t="n">
        <v>1</v>
      </c>
      <c r="E40">
        <f>'03_OBSERVATIONS'!J40</f>
        <v/>
      </c>
      <c r="F40" t="n">
        <v>108.84884</v>
      </c>
      <c r="G40" t="inlineStr">
        <is>
          <t>proxy: ASQ-submission timestamp delta, not stopwatch</t>
        </is>
      </c>
      <c r="H40" t="inlineStr">
        <is>
          <t>answer_status=verified</t>
        </is>
      </c>
      <c r="I40" t="inlineStr"/>
    </row>
    <row r="41">
      <c r="A41">
        <f>'03_OBSERVATIONS'!A41</f>
        <v/>
      </c>
      <c r="B41">
        <f>'03_OBSERVATIONS'!B41</f>
        <v/>
      </c>
      <c r="C41">
        <f>'03_OBSERVATIONS'!C41</f>
        <v/>
      </c>
      <c r="D41" t="n">
        <v>0</v>
      </c>
      <c r="E41">
        <f>'03_OBSERVATIONS'!J41</f>
        <v/>
      </c>
      <c r="F41" t="n">
        <v>6.478247</v>
      </c>
      <c r="G41" t="inlineStr">
        <is>
          <t>proxy: ASQ-submission timestamp delta, not stopwatch</t>
        </is>
      </c>
      <c r="H41" t="inlineStr">
        <is>
          <t>answer_status=out_of_domain</t>
        </is>
      </c>
      <c r="I41" t="inlineStr"/>
    </row>
    <row r="42">
      <c r="A42">
        <f>'03_OBSERVATIONS'!A42</f>
        <v/>
      </c>
      <c r="B42">
        <f>'03_OBSERVATIONS'!B42</f>
        <v/>
      </c>
      <c r="C42">
        <f>'03_OBSERVATIONS'!C42</f>
        <v/>
      </c>
      <c r="D42" t="n">
        <v>0</v>
      </c>
      <c r="E42">
        <f>'03_OBSERVATIONS'!J42</f>
        <v/>
      </c>
      <c r="F42" t="n">
        <v>60.753484</v>
      </c>
      <c r="G42" t="inlineStr">
        <is>
          <t>proxy: ASQ-submission timestamp delta, not stopwatch</t>
        </is>
      </c>
      <c r="H42" t="inlineStr">
        <is>
          <t>answer_status=out_of_domain</t>
        </is>
      </c>
      <c r="I42" t="inlineStr"/>
    </row>
    <row r="43">
      <c r="A43">
        <f>'03_OBSERVATIONS'!A43</f>
        <v/>
      </c>
      <c r="B43">
        <f>'03_OBSERVATIONS'!B43</f>
        <v/>
      </c>
      <c r="C43">
        <f>'03_OBSERVATIONS'!C43</f>
        <v/>
      </c>
      <c r="D43" t="n">
        <v>0</v>
      </c>
      <c r="E43">
        <f>'03_OBSERVATIONS'!J43</f>
        <v/>
      </c>
      <c r="F43" t="n">
        <v>273672.906367</v>
      </c>
      <c r="G43" t="inlineStr">
        <is>
          <t>proxy: ASQ-submission timestamp delta, not stopwatch</t>
        </is>
      </c>
      <c r="H43" t="inlineStr">
        <is>
          <t>answer_status=needs_clarification</t>
        </is>
      </c>
      <c r="I43" t="inlineStr">
        <is>
          <t>&gt;1h outlier, excluded from clean completion-time stats</t>
        </is>
      </c>
    </row>
    <row r="44">
      <c r="A44">
        <f>'03_OBSERVATIONS'!A44</f>
        <v/>
      </c>
      <c r="B44">
        <f>'03_OBSERVATIONS'!B44</f>
        <v/>
      </c>
      <c r="C44">
        <f>'03_OBSERVATIONS'!C44</f>
        <v/>
      </c>
      <c r="D44" t="n">
        <v>1</v>
      </c>
      <c r="E44">
        <f>'03_OBSERVATIONS'!J44</f>
        <v/>
      </c>
      <c r="F44" t="n">
        <v>13.345913</v>
      </c>
      <c r="G44" t="inlineStr">
        <is>
          <t>proxy: ASQ-submission timestamp delta, not stopwatch</t>
        </is>
      </c>
      <c r="H44" t="inlineStr">
        <is>
          <t>answer_status=verified</t>
        </is>
      </c>
      <c r="I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2" customWidth="1" min="4" max="4"/>
    <col width="22" customWidth="1" min="5" max="5"/>
    <col width="16" customWidth="1" min="6" max="6"/>
    <col width="18" customWidth="1" min="7" max="7"/>
    <col width="23" customWidth="1" min="8" max="8"/>
    <col width="21" customWidth="1" min="9" max="9"/>
    <col width="13" customWidth="1" min="10" max="10"/>
    <col width="14" customWidth="1" min="11" max="11"/>
    <col width="12" customWidth="1" min="12" max="12"/>
    <col width="16" customWidth="1" min="13" max="13"/>
    <col width="55" customWidth="1" min="14" max="14"/>
  </cols>
  <sheetData>
    <row r="1">
      <c r="A1" s="4" t="inlineStr">
        <is>
          <t>observation_id</t>
        </is>
      </c>
      <c r="B1" s="4" t="inlineStr">
        <is>
          <t>participant_id</t>
        </is>
      </c>
      <c r="C1" s="4" t="inlineStr">
        <is>
          <t>scenario_id</t>
        </is>
      </c>
      <c r="D1" s="4" t="inlineStr">
        <is>
          <t>latency_ms</t>
        </is>
      </c>
      <c r="E1" s="4" t="inlineStr">
        <is>
          <t>retrieval_latency_ms</t>
        </is>
      </c>
      <c r="F1" s="4" t="inlineStr">
        <is>
          <t>llm_latency_ms</t>
        </is>
      </c>
      <c r="G1" s="4" t="inlineStr">
        <is>
          <t>retrieved_chunks</t>
        </is>
      </c>
      <c r="H1" s="4" t="inlineStr">
        <is>
          <t>graph_nodes_retrieved</t>
        </is>
      </c>
      <c r="I1" s="4" t="inlineStr">
        <is>
          <t>graph_relationships</t>
        </is>
      </c>
      <c r="J1" s="4" t="inlineStr">
        <is>
          <t>token_input</t>
        </is>
      </c>
      <c r="K1" s="4" t="inlineStr">
        <is>
          <t>token_output</t>
        </is>
      </c>
      <c r="L1" s="4" t="inlineStr">
        <is>
          <t>model_name</t>
        </is>
      </c>
      <c r="M1" s="4" t="inlineStr">
        <is>
          <t>request_status</t>
        </is>
      </c>
      <c r="N1" s="4" t="inlineStr">
        <is>
          <t>missing_reason</t>
        </is>
      </c>
    </row>
    <row r="2">
      <c r="A2">
        <f>'03_OBSERVATIONS'!A2</f>
        <v/>
      </c>
      <c r="B2">
        <f>'03_OBSERVATIONS'!B2</f>
        <v/>
      </c>
      <c r="C2">
        <f>'03_OBSERVATIONS'!C2</f>
        <v/>
      </c>
      <c r="D2" t="n">
        <v>8271</v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NA</t>
        </is>
      </c>
      <c r="N2" t="inlineStr">
        <is>
          <t>not present in the per-observation safe export; only total end-to-end latency was retained from production chat_evaluation_logs</t>
        </is>
      </c>
    </row>
    <row r="3">
      <c r="A3">
        <f>'03_OBSERVATIONS'!A3</f>
        <v/>
      </c>
      <c r="B3">
        <f>'03_OBSERVATIONS'!B3</f>
        <v/>
      </c>
      <c r="C3">
        <f>'03_OBSERVATIONS'!C3</f>
        <v/>
      </c>
      <c r="D3" t="n">
        <v>10347</v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not present in the per-observation safe export; only total end-to-end latency was retained from production chat_evaluation_logs</t>
        </is>
      </c>
    </row>
    <row r="4">
      <c r="A4">
        <f>'03_OBSERVATIONS'!A4</f>
        <v/>
      </c>
      <c r="B4">
        <f>'03_OBSERVATIONS'!B4</f>
        <v/>
      </c>
      <c r="C4">
        <f>'03_OBSERVATIONS'!C4</f>
        <v/>
      </c>
      <c r="D4" t="n">
        <v>20389</v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not present in the per-observation safe export; only total end-to-end latency was retained from production chat_evaluation_logs</t>
        </is>
      </c>
    </row>
    <row r="5">
      <c r="A5">
        <f>'03_OBSERVATIONS'!A5</f>
        <v/>
      </c>
      <c r="B5">
        <f>'03_OBSERVATIONS'!B5</f>
        <v/>
      </c>
      <c r="C5">
        <f>'03_OBSERVATIONS'!C5</f>
        <v/>
      </c>
      <c r="D5" t="n">
        <v>6532</v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not present in the per-observation safe export; only total end-to-end latency was retained from production chat_evaluation_logs</t>
        </is>
      </c>
    </row>
    <row r="6">
      <c r="A6">
        <f>'03_OBSERVATIONS'!A6</f>
        <v/>
      </c>
      <c r="B6">
        <f>'03_OBSERVATIONS'!B6</f>
        <v/>
      </c>
      <c r="C6">
        <f>'03_OBSERVATIONS'!C6</f>
        <v/>
      </c>
      <c r="D6" t="n">
        <v>12237</v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  <c r="N6" t="inlineStr">
        <is>
          <t>not present in the per-observation safe export; only total end-to-end latency was retained from production chat_evaluation_logs</t>
        </is>
      </c>
    </row>
    <row r="7">
      <c r="A7">
        <f>'03_OBSERVATIONS'!A7</f>
        <v/>
      </c>
      <c r="B7">
        <f>'03_OBSERVATIONS'!B7</f>
        <v/>
      </c>
      <c r="C7">
        <f>'03_OBSERVATIONS'!C7</f>
        <v/>
      </c>
      <c r="D7" t="n">
        <v>6574</v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>
        <is>
          <t>not present in the per-observation safe export; only total end-to-end latency was retained from production chat_evaluation_logs</t>
        </is>
      </c>
    </row>
    <row r="8">
      <c r="A8">
        <f>'03_OBSERVATIONS'!A8</f>
        <v/>
      </c>
      <c r="B8">
        <f>'03_OBSERVATIONS'!B8</f>
        <v/>
      </c>
      <c r="C8">
        <f>'03_OBSERVATIONS'!C8</f>
        <v/>
      </c>
      <c r="D8" t="n">
        <v>5079</v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NA</t>
        </is>
      </c>
      <c r="N8" t="inlineStr">
        <is>
          <t>not present in the per-observation safe export; only total end-to-end latency was retained from production chat_evaluation_logs</t>
        </is>
      </c>
    </row>
    <row r="9">
      <c r="A9">
        <f>'03_OBSERVATIONS'!A9</f>
        <v/>
      </c>
      <c r="B9">
        <f>'03_OBSERVATIONS'!B9</f>
        <v/>
      </c>
      <c r="C9">
        <f>'03_OBSERVATIONS'!C9</f>
        <v/>
      </c>
      <c r="D9" t="n">
        <v>5146</v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not present in the per-observation safe export; only total end-to-end latency was retained from production chat_evaluation_logs</t>
        </is>
      </c>
    </row>
    <row r="10">
      <c r="A10">
        <f>'03_OBSERVATIONS'!A10</f>
        <v/>
      </c>
      <c r="B10">
        <f>'03_OBSERVATIONS'!B10</f>
        <v/>
      </c>
      <c r="C10">
        <f>'03_OBSERVATIONS'!C10</f>
        <v/>
      </c>
      <c r="D10" t="n">
        <v>36402</v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NA</t>
        </is>
      </c>
      <c r="N10" t="inlineStr">
        <is>
          <t>not present in the per-observation safe export; only total end-to-end latency was retained from production chat_evaluation_logs</t>
        </is>
      </c>
    </row>
    <row r="11">
      <c r="A11">
        <f>'03_OBSERVATIONS'!A11</f>
        <v/>
      </c>
      <c r="B11">
        <f>'03_OBSERVATIONS'!B11</f>
        <v/>
      </c>
      <c r="C11">
        <f>'03_OBSERVATIONS'!C11</f>
        <v/>
      </c>
      <c r="D11" t="n">
        <v>5091</v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not present in the per-observation safe export; only total end-to-end latency was retained from production chat_evaluation_logs</t>
        </is>
      </c>
    </row>
    <row r="12">
      <c r="A12">
        <f>'03_OBSERVATIONS'!A12</f>
        <v/>
      </c>
      <c r="B12">
        <f>'03_OBSERVATIONS'!B12</f>
        <v/>
      </c>
      <c r="C12">
        <f>'03_OBSERVATIONS'!C12</f>
        <v/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NA</t>
        </is>
      </c>
      <c r="N12" t="inlineStr">
        <is>
          <t>not present in the per-observation safe export; only total end-to-end latency was retained from production chat_evaluation_logs</t>
        </is>
      </c>
    </row>
    <row r="13">
      <c r="A13">
        <f>'03_OBSERVATIONS'!A13</f>
        <v/>
      </c>
      <c r="B13">
        <f>'03_OBSERVATIONS'!B13</f>
        <v/>
      </c>
      <c r="C13">
        <f>'03_OBSERVATIONS'!C13</f>
        <v/>
      </c>
      <c r="D13" t="n">
        <v>4239</v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N13" t="inlineStr">
        <is>
          <t>not present in the per-observation safe export; only total end-to-end latency was retained from production chat_evaluation_logs</t>
        </is>
      </c>
    </row>
    <row r="14">
      <c r="A14">
        <f>'03_OBSERVATIONS'!A14</f>
        <v/>
      </c>
      <c r="B14">
        <f>'03_OBSERVATIONS'!B14</f>
        <v/>
      </c>
      <c r="C14">
        <f>'03_OBSERVATIONS'!C14</f>
        <v/>
      </c>
      <c r="D14" t="n">
        <v>4663</v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N14" t="inlineStr">
        <is>
          <t>not present in the per-observation safe export; only total end-to-end latency was retained from production chat_evaluation_logs</t>
        </is>
      </c>
    </row>
    <row r="15">
      <c r="A15">
        <f>'03_OBSERVATIONS'!A15</f>
        <v/>
      </c>
      <c r="B15">
        <f>'03_OBSERVATIONS'!B15</f>
        <v/>
      </c>
      <c r="C15">
        <f>'03_OBSERVATIONS'!C15</f>
        <v/>
      </c>
      <c r="D15" t="n">
        <v>9979</v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NA</t>
        </is>
      </c>
      <c r="N15" t="inlineStr">
        <is>
          <t>not present in the per-observation safe export; only total end-to-end latency was retained from production chat_evaluation_logs</t>
        </is>
      </c>
    </row>
    <row r="16">
      <c r="A16">
        <f>'03_OBSERVATIONS'!A16</f>
        <v/>
      </c>
      <c r="B16">
        <f>'03_OBSERVATIONS'!B16</f>
        <v/>
      </c>
      <c r="C16">
        <f>'03_OBSERVATIONS'!C16</f>
        <v/>
      </c>
      <c r="D16" t="n">
        <v>4877</v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NA</t>
        </is>
      </c>
      <c r="N16" t="inlineStr">
        <is>
          <t>not present in the per-observation safe export; only total end-to-end latency was retained from production chat_evaluation_logs</t>
        </is>
      </c>
    </row>
    <row r="17">
      <c r="A17">
        <f>'03_OBSERVATIONS'!A17</f>
        <v/>
      </c>
      <c r="B17">
        <f>'03_OBSERVATIONS'!B17</f>
        <v/>
      </c>
      <c r="C17">
        <f>'03_OBSERVATIONS'!C17</f>
        <v/>
      </c>
      <c r="D17" t="n">
        <v>6553</v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not present in the per-observation safe export; only total end-to-end latency was retained from production chat_evaluation_logs</t>
        </is>
      </c>
    </row>
    <row r="18">
      <c r="A18">
        <f>'03_OBSERVATIONS'!A18</f>
        <v/>
      </c>
      <c r="B18">
        <f>'03_OBSERVATIONS'!B18</f>
        <v/>
      </c>
      <c r="C18">
        <f>'03_OBSERVATIONS'!C18</f>
        <v/>
      </c>
      <c r="D18" t="n">
        <v>4314</v>
      </c>
      <c r="E18" t="inlineStr">
        <is>
          <t>NA</t>
        </is>
      </c>
      <c r="F18" t="inlineStr">
        <is>
          <t>NA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NA</t>
        </is>
      </c>
      <c r="N18" t="inlineStr">
        <is>
          <t>not present in the per-observation safe export; only total end-to-end latency was retained from production chat_evaluation_logs</t>
        </is>
      </c>
    </row>
    <row r="19">
      <c r="A19">
        <f>'03_OBSERVATIONS'!A19</f>
        <v/>
      </c>
      <c r="B19">
        <f>'03_OBSERVATIONS'!B19</f>
        <v/>
      </c>
      <c r="C19">
        <f>'03_OBSERVATIONS'!C19</f>
        <v/>
      </c>
      <c r="D19" t="n">
        <v>4908</v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not present in the per-observation safe export; only total end-to-end latency was retained from production chat_evaluation_logs</t>
        </is>
      </c>
    </row>
    <row r="20">
      <c r="A20">
        <f>'03_OBSERVATIONS'!A20</f>
        <v/>
      </c>
      <c r="B20">
        <f>'03_OBSERVATIONS'!B20</f>
        <v/>
      </c>
      <c r="C20">
        <f>'03_OBSERVATIONS'!C20</f>
        <v/>
      </c>
      <c r="D20" t="n">
        <v>4819</v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NA</t>
        </is>
      </c>
      <c r="N20" t="inlineStr">
        <is>
          <t>not present in the per-observation safe export; only total end-to-end latency was retained from production chat_evaluation_logs</t>
        </is>
      </c>
    </row>
    <row r="21">
      <c r="A21">
        <f>'03_OBSERVATIONS'!A21</f>
        <v/>
      </c>
      <c r="B21">
        <f>'03_OBSERVATIONS'!B21</f>
        <v/>
      </c>
      <c r="C21">
        <f>'03_OBSERVATIONS'!C21</f>
        <v/>
      </c>
      <c r="D21" t="n">
        <v>4427</v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not present in the per-observation safe export; only total end-to-end latency was retained from production chat_evaluation_logs</t>
        </is>
      </c>
    </row>
    <row r="22">
      <c r="A22">
        <f>'03_OBSERVATIONS'!A22</f>
        <v/>
      </c>
      <c r="B22">
        <f>'03_OBSERVATIONS'!B22</f>
        <v/>
      </c>
      <c r="C22">
        <f>'03_OBSERVATIONS'!C22</f>
        <v/>
      </c>
      <c r="D22" t="n">
        <v>4512</v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NA</t>
        </is>
      </c>
      <c r="N22" t="inlineStr">
        <is>
          <t>not present in the per-observation safe export; only total end-to-end latency was retained from production chat_evaluation_logs</t>
        </is>
      </c>
    </row>
    <row r="23">
      <c r="A23">
        <f>'03_OBSERVATIONS'!A23</f>
        <v/>
      </c>
      <c r="B23">
        <f>'03_OBSERVATIONS'!B23</f>
        <v/>
      </c>
      <c r="C23">
        <f>'03_OBSERVATIONS'!C23</f>
        <v/>
      </c>
      <c r="D23" t="n">
        <v>4508</v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  <c r="N23" t="inlineStr">
        <is>
          <t>not present in the per-observation safe export; only total end-to-end latency was retained from production chat_evaluation_logs</t>
        </is>
      </c>
    </row>
    <row r="24">
      <c r="A24">
        <f>'03_OBSERVATIONS'!A24</f>
        <v/>
      </c>
      <c r="B24">
        <f>'03_OBSERVATIONS'!B24</f>
        <v/>
      </c>
      <c r="C24">
        <f>'03_OBSERVATIONS'!C24</f>
        <v/>
      </c>
      <c r="D24" t="n">
        <v>59</v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NA</t>
        </is>
      </c>
      <c r="N24" t="inlineStr">
        <is>
          <t>not present in the per-observation safe export; only total end-to-end latency was retained from production chat_evaluation_logs</t>
        </is>
      </c>
    </row>
    <row r="25">
      <c r="A25">
        <f>'03_OBSERVATIONS'!A25</f>
        <v/>
      </c>
      <c r="B25">
        <f>'03_OBSERVATIONS'!B25</f>
        <v/>
      </c>
      <c r="C25">
        <f>'03_OBSERVATIONS'!C25</f>
        <v/>
      </c>
      <c r="D25" t="n">
        <v>4285</v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not present in the per-observation safe export; only total end-to-end latency was retained from production chat_evaluation_logs</t>
        </is>
      </c>
    </row>
    <row r="26">
      <c r="A26">
        <f>'03_OBSERVATIONS'!A26</f>
        <v/>
      </c>
      <c r="B26">
        <f>'03_OBSERVATIONS'!B26</f>
        <v/>
      </c>
      <c r="C26">
        <f>'03_OBSERVATIONS'!C26</f>
        <v/>
      </c>
      <c r="D26" t="n">
        <v>4635</v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NA</t>
        </is>
      </c>
      <c r="N26" t="inlineStr">
        <is>
          <t>not present in the per-observation safe export; only total end-to-end latency was retained from production chat_evaluation_logs</t>
        </is>
      </c>
    </row>
    <row r="27">
      <c r="A27">
        <f>'03_OBSERVATIONS'!A27</f>
        <v/>
      </c>
      <c r="B27">
        <f>'03_OBSERVATIONS'!B27</f>
        <v/>
      </c>
      <c r="C27">
        <f>'03_OBSERVATIONS'!C27</f>
        <v/>
      </c>
      <c r="D27" t="n">
        <v>5210</v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NA</t>
        </is>
      </c>
      <c r="N27" t="inlineStr">
        <is>
          <t>not present in the per-observation safe export; only total end-to-end latency was retained from production chat_evaluation_logs</t>
        </is>
      </c>
    </row>
    <row r="28">
      <c r="A28">
        <f>'03_OBSERVATIONS'!A28</f>
        <v/>
      </c>
      <c r="B28">
        <f>'03_OBSERVATIONS'!B28</f>
        <v/>
      </c>
      <c r="C28">
        <f>'03_OBSERVATIONS'!C28</f>
        <v/>
      </c>
      <c r="D28" t="n">
        <v>8732</v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NA</t>
        </is>
      </c>
      <c r="N28" t="inlineStr">
        <is>
          <t>not present in the per-observation safe export; only total end-to-end latency was retained from production chat_evaluation_logs</t>
        </is>
      </c>
    </row>
    <row r="29">
      <c r="A29">
        <f>'03_OBSERVATIONS'!A29</f>
        <v/>
      </c>
      <c r="B29">
        <f>'03_OBSERVATIONS'!B29</f>
        <v/>
      </c>
      <c r="C29">
        <f>'03_OBSERVATIONS'!C29</f>
        <v/>
      </c>
      <c r="D29" t="n">
        <v>4701</v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NA</t>
        </is>
      </c>
      <c r="N29" t="inlineStr">
        <is>
          <t>not present in the per-observation safe export; only total end-to-end latency was retained from production chat_evaluation_logs</t>
        </is>
      </c>
    </row>
    <row r="30">
      <c r="A30">
        <f>'03_OBSERVATIONS'!A30</f>
        <v/>
      </c>
      <c r="B30">
        <f>'03_OBSERVATIONS'!B30</f>
        <v/>
      </c>
      <c r="C30">
        <f>'03_OBSERVATIONS'!C30</f>
        <v/>
      </c>
      <c r="D30" t="n">
        <v>11207</v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NA</t>
        </is>
      </c>
      <c r="N30" t="inlineStr">
        <is>
          <t>not present in the per-observation safe export; only total end-to-end latency was retained from production chat_evaluation_logs</t>
        </is>
      </c>
    </row>
    <row r="31">
      <c r="A31">
        <f>'03_OBSERVATIONS'!A31</f>
        <v/>
      </c>
      <c r="B31">
        <f>'03_OBSERVATIONS'!B31</f>
        <v/>
      </c>
      <c r="C31">
        <f>'03_OBSERVATIONS'!C31</f>
        <v/>
      </c>
      <c r="D31" t="n">
        <v>4410</v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NA</t>
        </is>
      </c>
      <c r="N31" t="inlineStr">
        <is>
          <t>not present in the per-observation safe export; only total end-to-end latency was retained from production chat_evaluation_logs</t>
        </is>
      </c>
    </row>
    <row r="32">
      <c r="A32">
        <f>'03_OBSERVATIONS'!A32</f>
        <v/>
      </c>
      <c r="B32">
        <f>'03_OBSERVATIONS'!B32</f>
        <v/>
      </c>
      <c r="C32">
        <f>'03_OBSERVATIONS'!C32</f>
        <v/>
      </c>
      <c r="D32" t="n">
        <v>8248</v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NA</t>
        </is>
      </c>
      <c r="N32" t="inlineStr">
        <is>
          <t>not present in the per-observation safe export; only total end-to-end latency was retained from production chat_evaluation_logs</t>
        </is>
      </c>
    </row>
    <row r="33">
      <c r="A33">
        <f>'03_OBSERVATIONS'!A33</f>
        <v/>
      </c>
      <c r="B33">
        <f>'03_OBSERVATIONS'!B33</f>
        <v/>
      </c>
      <c r="C33">
        <f>'03_OBSERVATIONS'!C33</f>
        <v/>
      </c>
      <c r="D33" t="n">
        <v>10513</v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NA</t>
        </is>
      </c>
      <c r="N33" t="inlineStr">
        <is>
          <t>not present in the per-observation safe export; only total end-to-end latency was retained from production chat_evaluation_logs</t>
        </is>
      </c>
    </row>
    <row r="34">
      <c r="A34">
        <f>'03_OBSERVATIONS'!A34</f>
        <v/>
      </c>
      <c r="B34">
        <f>'03_OBSERVATIONS'!B34</f>
        <v/>
      </c>
      <c r="C34">
        <f>'03_OBSERVATIONS'!C34</f>
        <v/>
      </c>
      <c r="D34" t="n">
        <v>14127</v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NA</t>
        </is>
      </c>
      <c r="N34" t="inlineStr">
        <is>
          <t>not present in the per-observation safe export; only total end-to-end latency was retained from production chat_evaluation_logs</t>
        </is>
      </c>
    </row>
    <row r="35">
      <c r="A35">
        <f>'03_OBSERVATIONS'!A35</f>
        <v/>
      </c>
      <c r="B35">
        <f>'03_OBSERVATIONS'!B35</f>
        <v/>
      </c>
      <c r="C35">
        <f>'03_OBSERVATIONS'!C35</f>
        <v/>
      </c>
      <c r="D35" t="n">
        <v>8928</v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NA</t>
        </is>
      </c>
      <c r="N35" t="inlineStr">
        <is>
          <t>not present in the per-observation safe export; only total end-to-end latency was retained from production chat_evaluation_logs</t>
        </is>
      </c>
    </row>
    <row r="36">
      <c r="A36">
        <f>'03_OBSERVATIONS'!A36</f>
        <v/>
      </c>
      <c r="B36">
        <f>'03_OBSERVATIONS'!B36</f>
        <v/>
      </c>
      <c r="C36">
        <f>'03_OBSERVATIONS'!C36</f>
        <v/>
      </c>
      <c r="D36" t="n">
        <v>4664</v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not present in the per-observation safe export; only total end-to-end latency was retained from production chat_evaluation_logs</t>
        </is>
      </c>
    </row>
    <row r="37">
      <c r="A37">
        <f>'03_OBSERVATIONS'!A37</f>
        <v/>
      </c>
      <c r="B37">
        <f>'03_OBSERVATIONS'!B37</f>
        <v/>
      </c>
      <c r="C37">
        <f>'03_OBSERVATIONS'!C37</f>
        <v/>
      </c>
      <c r="D37" t="n">
        <v>6435</v>
      </c>
      <c r="E37" t="inlineStr">
        <is>
          <t>NA</t>
        </is>
      </c>
      <c r="F37" t="inlineStr">
        <is>
          <t>NA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NA</t>
        </is>
      </c>
      <c r="N37" t="inlineStr">
        <is>
          <t>not present in the per-observation safe export; only total end-to-end latency was retained from production chat_evaluation_logs</t>
        </is>
      </c>
    </row>
    <row r="38">
      <c r="A38">
        <f>'03_OBSERVATIONS'!A38</f>
        <v/>
      </c>
      <c r="B38">
        <f>'03_OBSERVATIONS'!B38</f>
        <v/>
      </c>
      <c r="C38">
        <f>'03_OBSERVATIONS'!C38</f>
        <v/>
      </c>
      <c r="D38" t="n">
        <v>12357</v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NA</t>
        </is>
      </c>
      <c r="N38" t="inlineStr">
        <is>
          <t>not present in the per-observation safe export; only total end-to-end latency was retained from production chat_evaluation_logs</t>
        </is>
      </c>
    </row>
    <row r="39">
      <c r="A39">
        <f>'03_OBSERVATIONS'!A39</f>
        <v/>
      </c>
      <c r="B39">
        <f>'03_OBSERVATIONS'!B39</f>
        <v/>
      </c>
      <c r="C39">
        <f>'03_OBSERVATIONS'!C39</f>
        <v/>
      </c>
      <c r="D39" t="n">
        <v>22529</v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not present in the per-observation safe export; only total end-to-end latency was retained from production chat_evaluation_logs</t>
        </is>
      </c>
    </row>
    <row r="40">
      <c r="A40">
        <f>'03_OBSERVATIONS'!A40</f>
        <v/>
      </c>
      <c r="B40">
        <f>'03_OBSERVATIONS'!B40</f>
        <v/>
      </c>
      <c r="C40">
        <f>'03_OBSERVATIONS'!C40</f>
        <v/>
      </c>
      <c r="D40" t="n">
        <v>22529</v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NA</t>
        </is>
      </c>
      <c r="N40" t="inlineStr">
        <is>
          <t>not present in the per-observation safe export; only total end-to-end latency was retained from production chat_evaluation_logs</t>
        </is>
      </c>
    </row>
    <row r="41">
      <c r="A41">
        <f>'03_OBSERVATIONS'!A41</f>
        <v/>
      </c>
      <c r="B41">
        <f>'03_OBSERVATIONS'!B41</f>
        <v/>
      </c>
      <c r="C41">
        <f>'03_OBSERVATIONS'!C41</f>
        <v/>
      </c>
      <c r="D41" t="n">
        <v>5738</v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NA</t>
        </is>
      </c>
      <c r="N41" t="inlineStr">
        <is>
          <t>not present in the per-observation safe export; only total end-to-end latency was retained from production chat_evaluation_logs</t>
        </is>
      </c>
    </row>
    <row r="42">
      <c r="A42">
        <f>'03_OBSERVATIONS'!A42</f>
        <v/>
      </c>
      <c r="B42">
        <f>'03_OBSERVATIONS'!B42</f>
        <v/>
      </c>
      <c r="C42">
        <f>'03_OBSERVATIONS'!C42</f>
        <v/>
      </c>
      <c r="D42" t="n">
        <v>5591</v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NA</t>
        </is>
      </c>
      <c r="N42" t="inlineStr">
        <is>
          <t>not present in the per-observation safe export; only total end-to-end latency was retained from production chat_evaluation_logs</t>
        </is>
      </c>
    </row>
    <row r="43">
      <c r="A43">
        <f>'03_OBSERVATIONS'!A43</f>
        <v/>
      </c>
      <c r="B43">
        <f>'03_OBSERVATIONS'!B43</f>
        <v/>
      </c>
      <c r="C43">
        <f>'03_OBSERVATIONS'!C43</f>
        <v/>
      </c>
      <c r="D43" t="n">
        <v>15</v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NA</t>
        </is>
      </c>
      <c r="N43" t="inlineStr">
        <is>
          <t>not present in the per-observation safe export; only total end-to-end latency was retained from production chat_evaluation_logs</t>
        </is>
      </c>
    </row>
    <row r="44">
      <c r="A44">
        <f>'03_OBSERVATIONS'!A44</f>
        <v/>
      </c>
      <c r="B44">
        <f>'03_OBSERVATIONS'!B44</f>
        <v/>
      </c>
      <c r="C44">
        <f>'03_OBSERVATIONS'!C44</f>
        <v/>
      </c>
      <c r="D44" t="n">
        <v>38984</v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NA</t>
        </is>
      </c>
      <c r="N44" t="inlineStr">
        <is>
          <t>not present in the per-observation safe export; only total end-to-end latency was retained from production chat_evaluation_logs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3" customWidth="1" min="4" max="4"/>
    <col width="19" customWidth="1" min="5" max="5"/>
    <col width="22" customWidth="1" min="6" max="6"/>
    <col width="55" customWidth="1" min="7" max="7"/>
    <col width="55" customWidth="1" min="8" max="8"/>
  </cols>
  <sheetData>
    <row r="1">
      <c r="A1" s="4" t="inlineStr">
        <is>
          <t>observation_id</t>
        </is>
      </c>
      <c r="B1" s="4" t="inlineStr">
        <is>
          <t>participant_id</t>
        </is>
      </c>
      <c r="C1" s="4" t="inlineStr">
        <is>
          <t>scenario_id</t>
        </is>
      </c>
      <c r="D1" s="4" t="inlineStr">
        <is>
          <t>n_citations</t>
        </is>
      </c>
      <c r="E1" s="4" t="inlineStr">
        <is>
          <t>n_valid_citations</t>
        </is>
      </c>
      <c r="F1" s="4" t="inlineStr">
        <is>
          <t>has_correct_citation</t>
        </is>
      </c>
      <c r="G1" s="4" t="inlineStr">
        <is>
          <t>citation_evaluation_method</t>
        </is>
      </c>
      <c r="H1" s="4" t="inlineStr">
        <is>
          <t>evaluator_notes</t>
        </is>
      </c>
    </row>
    <row r="2">
      <c r="A2">
        <f>'03_OBSERVATIONS'!A2</f>
        <v/>
      </c>
      <c r="B2">
        <f>'03_OBSERVATIONS'!B2</f>
        <v/>
      </c>
      <c r="C2">
        <f>'03_OBSERVATIONS'!C2</f>
        <v/>
      </c>
      <c r="D2" t="n">
        <v>4</v>
      </c>
      <c r="E2" t="n">
        <v>4</v>
      </c>
      <c r="F2">
        <f>IF(E2="","",E2&gt;0)</f>
        <v/>
      </c>
      <c r="G2" t="inlineStr">
        <is>
          <t>joined via trace_id to production citation_evaluation_logs</t>
        </is>
      </c>
      <c r="H2" t="inlineStr">
        <is>
          <t>Per-observation value tied to these 22 participants via trace_id. NOT the separate 41-question automated gold-QA citation-correct rate (39.0%) -- a different instrument; see 09_STATISTICAL_SUMMARY methodology notes.</t>
        </is>
      </c>
    </row>
    <row r="3">
      <c r="A3">
        <f>'03_OBSERVATIONS'!A3</f>
        <v/>
      </c>
      <c r="B3">
        <f>'03_OBSERVATIONS'!B3</f>
        <v/>
      </c>
      <c r="C3">
        <f>'03_OBSERVATIONS'!C3</f>
        <v/>
      </c>
      <c r="D3" t="n">
        <v>4</v>
      </c>
      <c r="E3" t="n">
        <v>4</v>
      </c>
      <c r="F3">
        <f>IF(E3="","",E3&gt;0)</f>
        <v/>
      </c>
      <c r="G3" t="inlineStr">
        <is>
          <t>joined via trace_id to production citation_evaluation_logs</t>
        </is>
      </c>
      <c r="H3" t="inlineStr"/>
    </row>
    <row r="4">
      <c r="A4">
        <f>'03_OBSERVATIONS'!A4</f>
        <v/>
      </c>
      <c r="B4">
        <f>'03_OBSERVATIONS'!B4</f>
        <v/>
      </c>
      <c r="C4">
        <f>'03_OBSERVATIONS'!C4</f>
        <v/>
      </c>
      <c r="D4" t="n">
        <v>5</v>
      </c>
      <c r="E4" t="n">
        <v>5</v>
      </c>
      <c r="F4">
        <f>IF(E4="","",E4&gt;0)</f>
        <v/>
      </c>
      <c r="G4" t="inlineStr">
        <is>
          <t>joined via trace_id to production citation_evaluation_logs</t>
        </is>
      </c>
      <c r="H4" t="inlineStr"/>
    </row>
    <row r="5">
      <c r="A5">
        <f>'03_OBSERVATIONS'!A5</f>
        <v/>
      </c>
      <c r="B5">
        <f>'03_OBSERVATIONS'!B5</f>
        <v/>
      </c>
      <c r="C5">
        <f>'03_OBSERVATIONS'!C5</f>
        <v/>
      </c>
      <c r="D5" t="n">
        <v>4</v>
      </c>
      <c r="E5" t="n">
        <v>4</v>
      </c>
      <c r="F5">
        <f>IF(E5="","",E5&gt;0)</f>
        <v/>
      </c>
      <c r="G5" t="inlineStr">
        <is>
          <t>joined via trace_id to production citation_evaluation_logs</t>
        </is>
      </c>
      <c r="H5" t="inlineStr"/>
    </row>
    <row r="6">
      <c r="A6">
        <f>'03_OBSERVATIONS'!A6</f>
        <v/>
      </c>
      <c r="B6">
        <f>'03_OBSERVATIONS'!B6</f>
        <v/>
      </c>
      <c r="C6">
        <f>'03_OBSERVATIONS'!C6</f>
        <v/>
      </c>
      <c r="D6" t="n">
        <v>2</v>
      </c>
      <c r="E6" t="n">
        <v>2</v>
      </c>
      <c r="F6">
        <f>IF(E6="","",E6&gt;0)</f>
        <v/>
      </c>
      <c r="G6" t="inlineStr">
        <is>
          <t>joined via trace_id to production citation_evaluation_logs</t>
        </is>
      </c>
      <c r="H6" t="inlineStr"/>
    </row>
    <row r="7">
      <c r="A7">
        <f>'03_OBSERVATIONS'!A7</f>
        <v/>
      </c>
      <c r="B7">
        <f>'03_OBSERVATIONS'!B7</f>
        <v/>
      </c>
      <c r="C7">
        <f>'03_OBSERVATIONS'!C7</f>
        <v/>
      </c>
      <c r="D7" t="n">
        <v>2</v>
      </c>
      <c r="E7" t="n">
        <v>2</v>
      </c>
      <c r="F7">
        <f>IF(E7="","",E7&gt;0)</f>
        <v/>
      </c>
      <c r="G7" t="inlineStr">
        <is>
          <t>joined via trace_id to production citation_evaluation_logs</t>
        </is>
      </c>
      <c r="H7" t="inlineStr"/>
    </row>
    <row r="8">
      <c r="A8">
        <f>'03_OBSERVATIONS'!A8</f>
        <v/>
      </c>
      <c r="B8">
        <f>'03_OBSERVATIONS'!B8</f>
        <v/>
      </c>
      <c r="C8">
        <f>'03_OBSERVATIONS'!C8</f>
        <v/>
      </c>
      <c r="D8" t="n">
        <v>0</v>
      </c>
      <c r="E8" t="n">
        <v>0</v>
      </c>
      <c r="F8">
        <f>IF(E8="","",E8&gt;0)</f>
        <v/>
      </c>
      <c r="G8" t="inlineStr">
        <is>
          <t>joined via trace_id to production citation_evaluation_logs</t>
        </is>
      </c>
      <c r="H8" t="inlineStr"/>
    </row>
    <row r="9">
      <c r="A9">
        <f>'03_OBSERVATIONS'!A9</f>
        <v/>
      </c>
      <c r="B9">
        <f>'03_OBSERVATIONS'!B9</f>
        <v/>
      </c>
      <c r="C9">
        <f>'03_OBSERVATIONS'!C9</f>
        <v/>
      </c>
      <c r="D9" t="n">
        <v>2</v>
      </c>
      <c r="E9" t="n">
        <v>2</v>
      </c>
      <c r="F9">
        <f>IF(E9="","",E9&gt;0)</f>
        <v/>
      </c>
      <c r="G9" t="inlineStr">
        <is>
          <t>joined via trace_id to production citation_evaluation_logs</t>
        </is>
      </c>
      <c r="H9" t="inlineStr"/>
    </row>
    <row r="10">
      <c r="A10">
        <f>'03_OBSERVATIONS'!A10</f>
        <v/>
      </c>
      <c r="B10">
        <f>'03_OBSERVATIONS'!B10</f>
        <v/>
      </c>
      <c r="C10">
        <f>'03_OBSERVATIONS'!C10</f>
        <v/>
      </c>
      <c r="D10" t="n">
        <v>0</v>
      </c>
      <c r="E10" t="n">
        <v>0</v>
      </c>
      <c r="F10">
        <f>IF(E10="","",E10&gt;0)</f>
        <v/>
      </c>
      <c r="G10" t="inlineStr">
        <is>
          <t>joined via trace_id to production citation_evaluation_logs</t>
        </is>
      </c>
      <c r="H10" t="inlineStr"/>
    </row>
    <row r="11">
      <c r="A11">
        <f>'03_OBSERVATIONS'!A11</f>
        <v/>
      </c>
      <c r="B11">
        <f>'03_OBSERVATIONS'!B11</f>
        <v/>
      </c>
      <c r="C11">
        <f>'03_OBSERVATIONS'!C11</f>
        <v/>
      </c>
      <c r="D11" t="n">
        <v>2</v>
      </c>
      <c r="E11" t="n">
        <v>2</v>
      </c>
      <c r="F11">
        <f>IF(E11="","",E11&gt;0)</f>
        <v/>
      </c>
      <c r="G11" t="inlineStr">
        <is>
          <t>joined via trace_id to production citation_evaluation_logs</t>
        </is>
      </c>
      <c r="H11" t="inlineStr"/>
    </row>
    <row r="12">
      <c r="A12">
        <f>'03_OBSERVATIONS'!A12</f>
        <v/>
      </c>
      <c r="B12">
        <f>'03_OBSERVATIONS'!B12</f>
        <v/>
      </c>
      <c r="C12">
        <f>'03_OBSERVATIONS'!C12</f>
        <v/>
      </c>
      <c r="D12" t="n">
        <v>0</v>
      </c>
      <c r="E12" t="n">
        <v>0</v>
      </c>
      <c r="F12">
        <f>IF(E12="","",E12&gt;0)</f>
        <v/>
      </c>
      <c r="G12" t="inlineStr">
        <is>
          <t>joined via trace_id to production citation_evaluation_logs</t>
        </is>
      </c>
      <c r="H12" t="inlineStr"/>
    </row>
    <row r="13">
      <c r="A13">
        <f>'03_OBSERVATIONS'!A13</f>
        <v/>
      </c>
      <c r="B13">
        <f>'03_OBSERVATIONS'!B13</f>
        <v/>
      </c>
      <c r="C13">
        <f>'03_OBSERVATIONS'!C13</f>
        <v/>
      </c>
      <c r="D13" t="n">
        <v>0</v>
      </c>
      <c r="E13" t="n">
        <v>0</v>
      </c>
      <c r="F13">
        <f>IF(E13="","",E13&gt;0)</f>
        <v/>
      </c>
      <c r="G13" t="inlineStr">
        <is>
          <t>joined via trace_id to production citation_evaluation_logs</t>
        </is>
      </c>
      <c r="H13" t="inlineStr"/>
    </row>
    <row r="14">
      <c r="A14">
        <f>'03_OBSERVATIONS'!A14</f>
        <v/>
      </c>
      <c r="B14">
        <f>'03_OBSERVATIONS'!B14</f>
        <v/>
      </c>
      <c r="C14">
        <f>'03_OBSERVATIONS'!C14</f>
        <v/>
      </c>
      <c r="D14" t="n">
        <v>0</v>
      </c>
      <c r="E14" t="n">
        <v>0</v>
      </c>
      <c r="F14">
        <f>IF(E14="","",E14&gt;0)</f>
        <v/>
      </c>
      <c r="G14" t="inlineStr">
        <is>
          <t>joined via trace_id to production citation_evaluation_logs</t>
        </is>
      </c>
      <c r="H14" t="inlineStr"/>
    </row>
    <row r="15">
      <c r="A15">
        <f>'03_OBSERVATIONS'!A15</f>
        <v/>
      </c>
      <c r="B15">
        <f>'03_OBSERVATIONS'!B15</f>
        <v/>
      </c>
      <c r="C15">
        <f>'03_OBSERVATIONS'!C15</f>
        <v/>
      </c>
      <c r="D15" t="n">
        <v>1</v>
      </c>
      <c r="E15" t="n">
        <v>1</v>
      </c>
      <c r="F15">
        <f>IF(E15="","",E15&gt;0)</f>
        <v/>
      </c>
      <c r="G15" t="inlineStr">
        <is>
          <t>joined via trace_id to production citation_evaluation_logs</t>
        </is>
      </c>
      <c r="H15" t="inlineStr"/>
    </row>
    <row r="16">
      <c r="A16">
        <f>'03_OBSERVATIONS'!A16</f>
        <v/>
      </c>
      <c r="B16">
        <f>'03_OBSERVATIONS'!B16</f>
        <v/>
      </c>
      <c r="C16">
        <f>'03_OBSERVATIONS'!C16</f>
        <v/>
      </c>
      <c r="D16" t="n">
        <v>3</v>
      </c>
      <c r="E16" t="n">
        <v>3</v>
      </c>
      <c r="F16">
        <f>IF(E16="","",E16&gt;0)</f>
        <v/>
      </c>
      <c r="G16" t="inlineStr">
        <is>
          <t>joined via trace_id to production citation_evaluation_logs</t>
        </is>
      </c>
      <c r="H16" t="inlineStr"/>
    </row>
    <row r="17">
      <c r="A17">
        <f>'03_OBSERVATIONS'!A17</f>
        <v/>
      </c>
      <c r="B17">
        <f>'03_OBSERVATIONS'!B17</f>
        <v/>
      </c>
      <c r="C17">
        <f>'03_OBSERVATIONS'!C17</f>
        <v/>
      </c>
      <c r="D17" t="n">
        <v>2</v>
      </c>
      <c r="E17" t="n">
        <v>2</v>
      </c>
      <c r="F17">
        <f>IF(E17="","",E17&gt;0)</f>
        <v/>
      </c>
      <c r="G17" t="inlineStr">
        <is>
          <t>joined via trace_id to production citation_evaluation_logs</t>
        </is>
      </c>
      <c r="H17" t="inlineStr"/>
    </row>
    <row r="18">
      <c r="A18">
        <f>'03_OBSERVATIONS'!A18</f>
        <v/>
      </c>
      <c r="B18">
        <f>'03_OBSERVATIONS'!B18</f>
        <v/>
      </c>
      <c r="C18">
        <f>'03_OBSERVATIONS'!C18</f>
        <v/>
      </c>
      <c r="D18" t="n">
        <v>5</v>
      </c>
      <c r="E18" t="n">
        <v>5</v>
      </c>
      <c r="F18">
        <f>IF(E18="","",E18&gt;0)</f>
        <v/>
      </c>
      <c r="G18" t="inlineStr">
        <is>
          <t>joined via trace_id to production citation_evaluation_logs</t>
        </is>
      </c>
      <c r="H18" t="inlineStr"/>
    </row>
    <row r="19">
      <c r="A19">
        <f>'03_OBSERVATIONS'!A19</f>
        <v/>
      </c>
      <c r="B19">
        <f>'03_OBSERVATIONS'!B19</f>
        <v/>
      </c>
      <c r="C19">
        <f>'03_OBSERVATIONS'!C19</f>
        <v/>
      </c>
      <c r="D19" t="n">
        <v>2</v>
      </c>
      <c r="E19" t="n">
        <v>2</v>
      </c>
      <c r="F19">
        <f>IF(E19="","",E19&gt;0)</f>
        <v/>
      </c>
      <c r="G19" t="inlineStr">
        <is>
          <t>joined via trace_id to production citation_evaluation_logs</t>
        </is>
      </c>
      <c r="H19" t="inlineStr"/>
    </row>
    <row r="20">
      <c r="A20">
        <f>'03_OBSERVATIONS'!A20</f>
        <v/>
      </c>
      <c r="B20">
        <f>'03_OBSERVATIONS'!B20</f>
        <v/>
      </c>
      <c r="C20">
        <f>'03_OBSERVATIONS'!C20</f>
        <v/>
      </c>
      <c r="D20" t="n">
        <v>0</v>
      </c>
      <c r="E20" t="n">
        <v>0</v>
      </c>
      <c r="F20">
        <f>IF(E20="","",E20&gt;0)</f>
        <v/>
      </c>
      <c r="G20" t="inlineStr">
        <is>
          <t>joined via trace_id to production citation_evaluation_logs</t>
        </is>
      </c>
      <c r="H20" t="inlineStr"/>
    </row>
    <row r="21">
      <c r="A21">
        <f>'03_OBSERVATIONS'!A21</f>
        <v/>
      </c>
      <c r="B21">
        <f>'03_OBSERVATIONS'!B21</f>
        <v/>
      </c>
      <c r="C21">
        <f>'03_OBSERVATIONS'!C21</f>
        <v/>
      </c>
      <c r="D21" t="n">
        <v>1</v>
      </c>
      <c r="E21" t="n">
        <v>1</v>
      </c>
      <c r="F21">
        <f>IF(E21="","",E21&gt;0)</f>
        <v/>
      </c>
      <c r="G21" t="inlineStr">
        <is>
          <t>joined via trace_id to production citation_evaluation_logs</t>
        </is>
      </c>
      <c r="H21" t="inlineStr"/>
    </row>
    <row r="22">
      <c r="A22">
        <f>'03_OBSERVATIONS'!A22</f>
        <v/>
      </c>
      <c r="B22">
        <f>'03_OBSERVATIONS'!B22</f>
        <v/>
      </c>
      <c r="C22">
        <f>'03_OBSERVATIONS'!C22</f>
        <v/>
      </c>
      <c r="D22" t="n">
        <v>3</v>
      </c>
      <c r="E22" t="n">
        <v>3</v>
      </c>
      <c r="F22">
        <f>IF(E22="","",E22&gt;0)</f>
        <v/>
      </c>
      <c r="G22" t="inlineStr">
        <is>
          <t>joined via trace_id to production citation_evaluation_logs</t>
        </is>
      </c>
      <c r="H22" t="inlineStr"/>
    </row>
    <row r="23">
      <c r="A23">
        <f>'03_OBSERVATIONS'!A23</f>
        <v/>
      </c>
      <c r="B23">
        <f>'03_OBSERVATIONS'!B23</f>
        <v/>
      </c>
      <c r="C23">
        <f>'03_OBSERVATIONS'!C23</f>
        <v/>
      </c>
      <c r="D23" t="n">
        <v>0</v>
      </c>
      <c r="E23" t="n">
        <v>0</v>
      </c>
      <c r="F23">
        <f>IF(E23="","",E23&gt;0)</f>
        <v/>
      </c>
      <c r="G23" t="inlineStr">
        <is>
          <t>joined via trace_id to production citation_evaluation_logs</t>
        </is>
      </c>
      <c r="H23" t="inlineStr"/>
    </row>
    <row r="24">
      <c r="A24">
        <f>'03_OBSERVATIONS'!A24</f>
        <v/>
      </c>
      <c r="B24">
        <f>'03_OBSERVATIONS'!B24</f>
        <v/>
      </c>
      <c r="C24">
        <f>'03_OBSERVATIONS'!C24</f>
        <v/>
      </c>
      <c r="D24" t="n">
        <v>0</v>
      </c>
      <c r="E24" t="n">
        <v>0</v>
      </c>
      <c r="F24">
        <f>IF(E24="","",E24&gt;0)</f>
        <v/>
      </c>
      <c r="G24" t="inlineStr">
        <is>
          <t>joined via trace_id to production citation_evaluation_logs</t>
        </is>
      </c>
      <c r="H24" t="inlineStr"/>
    </row>
    <row r="25">
      <c r="A25">
        <f>'03_OBSERVATIONS'!A25</f>
        <v/>
      </c>
      <c r="B25">
        <f>'03_OBSERVATIONS'!B25</f>
        <v/>
      </c>
      <c r="C25">
        <f>'03_OBSERVATIONS'!C25</f>
        <v/>
      </c>
      <c r="D25" t="n">
        <v>0</v>
      </c>
      <c r="E25" t="n">
        <v>0</v>
      </c>
      <c r="F25">
        <f>IF(E25="","",E25&gt;0)</f>
        <v/>
      </c>
      <c r="G25" t="inlineStr">
        <is>
          <t>joined via trace_id to production citation_evaluation_logs</t>
        </is>
      </c>
      <c r="H25" t="inlineStr"/>
    </row>
    <row r="26">
      <c r="A26">
        <f>'03_OBSERVATIONS'!A26</f>
        <v/>
      </c>
      <c r="B26">
        <f>'03_OBSERVATIONS'!B26</f>
        <v/>
      </c>
      <c r="C26">
        <f>'03_OBSERVATIONS'!C26</f>
        <v/>
      </c>
      <c r="D26" t="n">
        <v>3</v>
      </c>
      <c r="E26" t="n">
        <v>3</v>
      </c>
      <c r="F26">
        <f>IF(E26="","",E26&gt;0)</f>
        <v/>
      </c>
      <c r="G26" t="inlineStr">
        <is>
          <t>joined via trace_id to production citation_evaluation_logs</t>
        </is>
      </c>
      <c r="H26" t="inlineStr"/>
    </row>
    <row r="27">
      <c r="A27">
        <f>'03_OBSERVATIONS'!A27</f>
        <v/>
      </c>
      <c r="B27">
        <f>'03_OBSERVATIONS'!B27</f>
        <v/>
      </c>
      <c r="C27">
        <f>'03_OBSERVATIONS'!C27</f>
        <v/>
      </c>
      <c r="D27" t="n">
        <v>0</v>
      </c>
      <c r="E27" t="n">
        <v>0</v>
      </c>
      <c r="F27">
        <f>IF(E27="","",E27&gt;0)</f>
        <v/>
      </c>
      <c r="G27" t="inlineStr">
        <is>
          <t>joined via trace_id to production citation_evaluation_logs</t>
        </is>
      </c>
      <c r="H27" t="inlineStr"/>
    </row>
    <row r="28">
      <c r="A28">
        <f>'03_OBSERVATIONS'!A28</f>
        <v/>
      </c>
      <c r="B28">
        <f>'03_OBSERVATIONS'!B28</f>
        <v/>
      </c>
      <c r="C28">
        <f>'03_OBSERVATIONS'!C28</f>
        <v/>
      </c>
      <c r="D28" t="n">
        <v>2</v>
      </c>
      <c r="E28" t="n">
        <v>2</v>
      </c>
      <c r="F28">
        <f>IF(E28="","",E28&gt;0)</f>
        <v/>
      </c>
      <c r="G28" t="inlineStr">
        <is>
          <t>joined via trace_id to production citation_evaluation_logs</t>
        </is>
      </c>
      <c r="H28" t="inlineStr"/>
    </row>
    <row r="29">
      <c r="A29">
        <f>'03_OBSERVATIONS'!A29</f>
        <v/>
      </c>
      <c r="B29">
        <f>'03_OBSERVATIONS'!B29</f>
        <v/>
      </c>
      <c r="C29">
        <f>'03_OBSERVATIONS'!C29</f>
        <v/>
      </c>
      <c r="D29" t="n">
        <v>0</v>
      </c>
      <c r="E29" t="n">
        <v>0</v>
      </c>
      <c r="F29">
        <f>IF(E29="","",E29&gt;0)</f>
        <v/>
      </c>
      <c r="G29" t="inlineStr">
        <is>
          <t>joined via trace_id to production citation_evaluation_logs</t>
        </is>
      </c>
      <c r="H29" t="inlineStr"/>
    </row>
    <row r="30">
      <c r="A30">
        <f>'03_OBSERVATIONS'!A30</f>
        <v/>
      </c>
      <c r="B30">
        <f>'03_OBSERVATIONS'!B30</f>
        <v/>
      </c>
      <c r="C30">
        <f>'03_OBSERVATIONS'!C30</f>
        <v/>
      </c>
      <c r="D30" t="n">
        <v>3</v>
      </c>
      <c r="E30" t="n">
        <v>3</v>
      </c>
      <c r="F30">
        <f>IF(E30="","",E30&gt;0)</f>
        <v/>
      </c>
      <c r="G30" t="inlineStr">
        <is>
          <t>joined via trace_id to production citation_evaluation_logs</t>
        </is>
      </c>
      <c r="H30" t="inlineStr"/>
    </row>
    <row r="31">
      <c r="A31">
        <f>'03_OBSERVATIONS'!A31</f>
        <v/>
      </c>
      <c r="B31">
        <f>'03_OBSERVATIONS'!B31</f>
        <v/>
      </c>
      <c r="C31">
        <f>'03_OBSERVATIONS'!C31</f>
        <v/>
      </c>
      <c r="D31" t="n">
        <v>0</v>
      </c>
      <c r="E31" t="n">
        <v>0</v>
      </c>
      <c r="F31">
        <f>IF(E31="","",E31&gt;0)</f>
        <v/>
      </c>
      <c r="G31" t="inlineStr">
        <is>
          <t>joined via trace_id to production citation_evaluation_logs</t>
        </is>
      </c>
      <c r="H31" t="inlineStr"/>
    </row>
    <row r="32">
      <c r="A32">
        <f>'03_OBSERVATIONS'!A32</f>
        <v/>
      </c>
      <c r="B32">
        <f>'03_OBSERVATIONS'!B32</f>
        <v/>
      </c>
      <c r="C32">
        <f>'03_OBSERVATIONS'!C32</f>
        <v/>
      </c>
      <c r="D32" t="n">
        <v>3</v>
      </c>
      <c r="E32" t="n">
        <v>3</v>
      </c>
      <c r="F32">
        <f>IF(E32="","",E32&gt;0)</f>
        <v/>
      </c>
      <c r="G32" t="inlineStr">
        <is>
          <t>joined via trace_id to production citation_evaluation_logs</t>
        </is>
      </c>
      <c r="H32" t="inlineStr"/>
    </row>
    <row r="33">
      <c r="A33">
        <f>'03_OBSERVATIONS'!A33</f>
        <v/>
      </c>
      <c r="B33">
        <f>'03_OBSERVATIONS'!B33</f>
        <v/>
      </c>
      <c r="C33">
        <f>'03_OBSERVATIONS'!C33</f>
        <v/>
      </c>
      <c r="D33" t="n">
        <v>2</v>
      </c>
      <c r="E33" t="n">
        <v>2</v>
      </c>
      <c r="F33">
        <f>IF(E33="","",E33&gt;0)</f>
        <v/>
      </c>
      <c r="G33" t="inlineStr">
        <is>
          <t>joined via trace_id to production citation_evaluation_logs</t>
        </is>
      </c>
      <c r="H33" t="inlineStr"/>
    </row>
    <row r="34">
      <c r="A34">
        <f>'03_OBSERVATIONS'!A34</f>
        <v/>
      </c>
      <c r="B34">
        <f>'03_OBSERVATIONS'!B34</f>
        <v/>
      </c>
      <c r="C34">
        <f>'03_OBSERVATIONS'!C34</f>
        <v/>
      </c>
      <c r="D34" t="n">
        <v>4</v>
      </c>
      <c r="E34" t="n">
        <v>4</v>
      </c>
      <c r="F34">
        <f>IF(E34="","",E34&gt;0)</f>
        <v/>
      </c>
      <c r="G34" t="inlineStr">
        <is>
          <t>joined via trace_id to production citation_evaluation_logs</t>
        </is>
      </c>
      <c r="H34" t="inlineStr"/>
    </row>
    <row r="35">
      <c r="A35">
        <f>'03_OBSERVATIONS'!A35</f>
        <v/>
      </c>
      <c r="B35">
        <f>'03_OBSERVATIONS'!B35</f>
        <v/>
      </c>
      <c r="C35">
        <f>'03_OBSERVATIONS'!C35</f>
        <v/>
      </c>
      <c r="D35" t="n">
        <v>0</v>
      </c>
      <c r="E35" t="n">
        <v>0</v>
      </c>
      <c r="F35">
        <f>IF(E35="","",E35&gt;0)</f>
        <v/>
      </c>
      <c r="G35" t="inlineStr">
        <is>
          <t>joined via trace_id to production citation_evaluation_logs</t>
        </is>
      </c>
      <c r="H35" t="inlineStr"/>
    </row>
    <row r="36">
      <c r="A36">
        <f>'03_OBSERVATIONS'!A36</f>
        <v/>
      </c>
      <c r="B36">
        <f>'03_OBSERVATIONS'!B36</f>
        <v/>
      </c>
      <c r="C36">
        <f>'03_OBSERVATIONS'!C36</f>
        <v/>
      </c>
      <c r="D36" t="n">
        <v>0</v>
      </c>
      <c r="E36" t="n">
        <v>0</v>
      </c>
      <c r="F36">
        <f>IF(E36="","",E36&gt;0)</f>
        <v/>
      </c>
      <c r="G36" t="inlineStr">
        <is>
          <t>joined via trace_id to production citation_evaluation_logs</t>
        </is>
      </c>
      <c r="H36" t="inlineStr"/>
    </row>
    <row r="37">
      <c r="A37">
        <f>'03_OBSERVATIONS'!A37</f>
        <v/>
      </c>
      <c r="B37">
        <f>'03_OBSERVATIONS'!B37</f>
        <v/>
      </c>
      <c r="C37">
        <f>'03_OBSERVATIONS'!C37</f>
        <v/>
      </c>
      <c r="D37" t="n">
        <v>1</v>
      </c>
      <c r="E37" t="n">
        <v>1</v>
      </c>
      <c r="F37">
        <f>IF(E37="","",E37&gt;0)</f>
        <v/>
      </c>
      <c r="G37" t="inlineStr">
        <is>
          <t>joined via trace_id to production citation_evaluation_logs</t>
        </is>
      </c>
      <c r="H37" t="inlineStr"/>
    </row>
    <row r="38">
      <c r="A38">
        <f>'03_OBSERVATIONS'!A38</f>
        <v/>
      </c>
      <c r="B38">
        <f>'03_OBSERVATIONS'!B38</f>
        <v/>
      </c>
      <c r="C38">
        <f>'03_OBSERVATIONS'!C38</f>
        <v/>
      </c>
      <c r="D38" t="n">
        <v>1</v>
      </c>
      <c r="E38" t="n">
        <v>1</v>
      </c>
      <c r="F38">
        <f>IF(E38="","",E38&gt;0)</f>
        <v/>
      </c>
      <c r="G38" t="inlineStr">
        <is>
          <t>joined via trace_id to production citation_evaluation_logs</t>
        </is>
      </c>
      <c r="H38" t="inlineStr"/>
    </row>
    <row r="39">
      <c r="A39">
        <f>'03_OBSERVATIONS'!A39</f>
        <v/>
      </c>
      <c r="B39">
        <f>'03_OBSERVATIONS'!B39</f>
        <v/>
      </c>
      <c r="C39">
        <f>'03_OBSERVATIONS'!C39</f>
        <v/>
      </c>
      <c r="D39" t="n">
        <v>4</v>
      </c>
      <c r="E39" t="n">
        <v>4</v>
      </c>
      <c r="F39">
        <f>IF(E39="","",E39&gt;0)</f>
        <v/>
      </c>
      <c r="G39" t="inlineStr">
        <is>
          <t>joined via trace_id to production citation_evaluation_logs</t>
        </is>
      </c>
      <c r="H39" t="inlineStr"/>
    </row>
    <row r="40">
      <c r="A40">
        <f>'03_OBSERVATIONS'!A40</f>
        <v/>
      </c>
      <c r="B40">
        <f>'03_OBSERVATIONS'!B40</f>
        <v/>
      </c>
      <c r="C40">
        <f>'03_OBSERVATIONS'!C40</f>
        <v/>
      </c>
      <c r="D40" t="n">
        <v>4</v>
      </c>
      <c r="E40" t="n">
        <v>4</v>
      </c>
      <c r="F40">
        <f>IF(E40="","",E40&gt;0)</f>
        <v/>
      </c>
      <c r="G40" t="inlineStr">
        <is>
          <t>joined via trace_id to production citation_evaluation_logs</t>
        </is>
      </c>
      <c r="H40" t="inlineStr"/>
    </row>
    <row r="41">
      <c r="A41">
        <f>'03_OBSERVATIONS'!A41</f>
        <v/>
      </c>
      <c r="B41">
        <f>'03_OBSERVATIONS'!B41</f>
        <v/>
      </c>
      <c r="C41">
        <f>'03_OBSERVATIONS'!C41</f>
        <v/>
      </c>
      <c r="D41" t="n">
        <v>0</v>
      </c>
      <c r="E41" t="n">
        <v>0</v>
      </c>
      <c r="F41">
        <f>IF(E41="","",E41&gt;0)</f>
        <v/>
      </c>
      <c r="G41" t="inlineStr">
        <is>
          <t>joined via trace_id to production citation_evaluation_logs</t>
        </is>
      </c>
      <c r="H41" t="inlineStr"/>
    </row>
    <row r="42">
      <c r="A42">
        <f>'03_OBSERVATIONS'!A42</f>
        <v/>
      </c>
      <c r="B42">
        <f>'03_OBSERVATIONS'!B42</f>
        <v/>
      </c>
      <c r="C42">
        <f>'03_OBSERVATIONS'!C42</f>
        <v/>
      </c>
      <c r="D42" t="n">
        <v>1</v>
      </c>
      <c r="E42" t="n">
        <v>1</v>
      </c>
      <c r="F42">
        <f>IF(E42="","",E42&gt;0)</f>
        <v/>
      </c>
      <c r="G42" t="inlineStr">
        <is>
          <t>joined via trace_id to production citation_evaluation_logs</t>
        </is>
      </c>
      <c r="H42" t="inlineStr"/>
    </row>
    <row r="43">
      <c r="A43">
        <f>'03_OBSERVATIONS'!A43</f>
        <v/>
      </c>
      <c r="B43">
        <f>'03_OBSERVATIONS'!B43</f>
        <v/>
      </c>
      <c r="C43">
        <f>'03_OBSERVATIONS'!C43</f>
        <v/>
      </c>
      <c r="D43" t="n">
        <v>0</v>
      </c>
      <c r="E43" t="n">
        <v>0</v>
      </c>
      <c r="F43">
        <f>IF(E43="","",E43&gt;0)</f>
        <v/>
      </c>
      <c r="G43" t="inlineStr">
        <is>
          <t>joined via trace_id to production citation_evaluation_logs</t>
        </is>
      </c>
      <c r="H43" t="inlineStr"/>
    </row>
    <row r="44">
      <c r="A44">
        <f>'03_OBSERVATIONS'!A44</f>
        <v/>
      </c>
      <c r="B44">
        <f>'03_OBSERVATIONS'!B44</f>
        <v/>
      </c>
      <c r="C44">
        <f>'03_OBSERVATIONS'!C44</f>
        <v/>
      </c>
      <c r="D44" t="n">
        <v>5</v>
      </c>
      <c r="E44" t="n">
        <v>5</v>
      </c>
      <c r="F44">
        <f>IF(E44="","",E44&gt;0)</f>
        <v/>
      </c>
      <c r="G44" t="inlineStr">
        <is>
          <t>joined via trace_id to production citation_evaluation_logs</t>
        </is>
      </c>
      <c r="H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25" customWidth="1" min="13" max="13"/>
    <col width="27" customWidth="1" min="14" max="14"/>
    <col width="28" customWidth="1" min="15" max="15"/>
  </cols>
  <sheetData>
    <row r="1">
      <c r="A1" s="4" t="inlineStr">
        <is>
          <t>observation_id</t>
        </is>
      </c>
      <c r="B1" s="4" t="inlineStr">
        <is>
          <t>participant_id</t>
        </is>
      </c>
      <c r="C1" s="4" t="inlineStr">
        <is>
          <t>scenario_id</t>
        </is>
      </c>
      <c r="D1" s="4" t="inlineStr">
        <is>
          <t>asq_q1_ease</t>
        </is>
      </c>
      <c r="E1" s="4" t="inlineStr">
        <is>
          <t>asq_q2_time</t>
        </is>
      </c>
      <c r="F1" s="4" t="inlineStr">
        <is>
          <t>asq_q3_information_support</t>
        </is>
      </c>
      <c r="G1" s="4" t="inlineStr">
        <is>
          <t>asq_mean</t>
        </is>
      </c>
      <c r="H1" s="4" t="inlineStr">
        <is>
          <t>task_success</t>
        </is>
      </c>
      <c r="I1" s="4" t="inlineStr">
        <is>
          <t>task_status</t>
        </is>
      </c>
      <c r="J1" s="4" t="inlineStr">
        <is>
          <t>completion_time_sec</t>
        </is>
      </c>
      <c r="K1" s="4" t="inlineStr">
        <is>
          <t>latency_ms</t>
        </is>
      </c>
      <c r="L1" s="4" t="inlineStr">
        <is>
          <t>has_correct_citation</t>
        </is>
      </c>
      <c r="M1" s="4" t="inlineStr">
        <is>
          <t>complete_case_asq</t>
        </is>
      </c>
      <c r="N1" s="4" t="inlineStr">
        <is>
          <t>complete_case_performance</t>
        </is>
      </c>
      <c r="O1" s="4" t="inlineStr">
        <is>
          <t>paired_scenario_available</t>
        </is>
      </c>
    </row>
    <row r="2">
      <c r="A2">
        <f>'03_OBSERVATIONS'!A2</f>
        <v/>
      </c>
      <c r="B2">
        <f>INDEX('04_ASQ_RESPONSES'!$B:$B,MATCH($A2,'04_ASQ_RESPONSES'!$A:$A,0))</f>
        <v/>
      </c>
      <c r="C2">
        <f>INDEX('04_ASQ_RESPONSES'!$C:$C,MATCH($A2,'04_ASQ_RESPONSES'!$A:$A,0))</f>
        <v/>
      </c>
      <c r="D2">
        <f>INDEX('04_ASQ_RESPONSES'!$D:$D,MATCH($A2,'04_ASQ_RESPONSES'!$A:$A,0))</f>
        <v/>
      </c>
      <c r="E2">
        <f>INDEX('04_ASQ_RESPONSES'!$E:$E,MATCH($A2,'04_ASQ_RESPONSES'!$A:$A,0))</f>
        <v/>
      </c>
      <c r="F2">
        <f>INDEX('04_ASQ_RESPONSES'!$F:$F,MATCH($A2,'04_ASQ_RESPONSES'!$A:$A,0))</f>
        <v/>
      </c>
      <c r="G2">
        <f>INDEX('04_ASQ_RESPONSES'!$G:$G,MATCH($A2,'04_ASQ_RESPONSES'!$A:$A,0))</f>
        <v/>
      </c>
      <c r="H2">
        <f>INDEX('05_TASK_PERFORMANCE'!$D:$D,MATCH($A2,'05_TASK_PERFORMANCE'!$A:$A,0))</f>
        <v/>
      </c>
      <c r="I2">
        <f>INDEX('05_TASK_PERFORMANCE'!$E:$E,MATCH($A2,'05_TASK_PERFORMANCE'!$A:$A,0))</f>
        <v/>
      </c>
      <c r="J2">
        <f>INDEX('05_TASK_PERFORMANCE'!$F:$F,MATCH($A2,'05_TASK_PERFORMANCE'!$A:$A,0))</f>
        <v/>
      </c>
      <c r="K2">
        <f>INDEX('06_SYSTEM_METRICS'!$D:$D,MATCH($A2,'06_SYSTEM_METRICS'!$A:$A,0))</f>
        <v/>
      </c>
      <c r="L2">
        <f>INDEX('07_CITATION_EVALUATION'!$F:$F,MATCH($A2,'07_CITATION_EVALUATION'!$A:$A,0))</f>
        <v/>
      </c>
      <c r="M2">
        <f>IF(G2&lt;&gt;"",TRUE,FALSE)</f>
        <v/>
      </c>
      <c r="N2">
        <f>IF(H2&lt;&gt;"",TRUE,FALSE)</f>
        <v/>
      </c>
      <c r="O2">
        <f>COUNTIF($B$2:$B$44,B2)=2</f>
        <v/>
      </c>
    </row>
    <row r="3">
      <c r="A3">
        <f>'03_OBSERVATIONS'!A3</f>
        <v/>
      </c>
      <c r="B3">
        <f>INDEX('04_ASQ_RESPONSES'!$B:$B,MATCH($A3,'04_ASQ_RESPONSES'!$A:$A,0))</f>
        <v/>
      </c>
      <c r="C3">
        <f>INDEX('04_ASQ_RESPONSES'!$C:$C,MATCH($A3,'04_ASQ_RESPONSES'!$A:$A,0))</f>
        <v/>
      </c>
      <c r="D3">
        <f>INDEX('04_ASQ_RESPONSES'!$D:$D,MATCH($A3,'04_ASQ_RESPONSES'!$A:$A,0))</f>
        <v/>
      </c>
      <c r="E3">
        <f>INDEX('04_ASQ_RESPONSES'!$E:$E,MATCH($A3,'04_ASQ_RESPONSES'!$A:$A,0))</f>
        <v/>
      </c>
      <c r="F3">
        <f>INDEX('04_ASQ_RESPONSES'!$F:$F,MATCH($A3,'04_ASQ_RESPONSES'!$A:$A,0))</f>
        <v/>
      </c>
      <c r="G3">
        <f>INDEX('04_ASQ_RESPONSES'!$G:$G,MATCH($A3,'04_ASQ_RESPONSES'!$A:$A,0))</f>
        <v/>
      </c>
      <c r="H3">
        <f>INDEX('05_TASK_PERFORMANCE'!$D:$D,MATCH($A3,'05_TASK_PERFORMANCE'!$A:$A,0))</f>
        <v/>
      </c>
      <c r="I3">
        <f>INDEX('05_TASK_PERFORMANCE'!$E:$E,MATCH($A3,'05_TASK_PERFORMANCE'!$A:$A,0))</f>
        <v/>
      </c>
      <c r="J3">
        <f>INDEX('05_TASK_PERFORMANCE'!$F:$F,MATCH($A3,'05_TASK_PERFORMANCE'!$A:$A,0))</f>
        <v/>
      </c>
      <c r="K3">
        <f>INDEX('06_SYSTEM_METRICS'!$D:$D,MATCH($A3,'06_SYSTEM_METRICS'!$A:$A,0))</f>
        <v/>
      </c>
      <c r="L3">
        <f>INDEX('07_CITATION_EVALUATION'!$F:$F,MATCH($A3,'07_CITATION_EVALUATION'!$A:$A,0))</f>
        <v/>
      </c>
      <c r="M3">
        <f>IF(G3&lt;&gt;"",TRUE,FALSE)</f>
        <v/>
      </c>
      <c r="N3">
        <f>IF(H3&lt;&gt;"",TRUE,FALSE)</f>
        <v/>
      </c>
      <c r="O3">
        <f>COUNTIF($B$2:$B$44,B3)=2</f>
        <v/>
      </c>
    </row>
    <row r="4">
      <c r="A4">
        <f>'03_OBSERVATIONS'!A4</f>
        <v/>
      </c>
      <c r="B4">
        <f>INDEX('04_ASQ_RESPONSES'!$B:$B,MATCH($A4,'04_ASQ_RESPONSES'!$A:$A,0))</f>
        <v/>
      </c>
      <c r="C4">
        <f>INDEX('04_ASQ_RESPONSES'!$C:$C,MATCH($A4,'04_ASQ_RESPONSES'!$A:$A,0))</f>
        <v/>
      </c>
      <c r="D4">
        <f>INDEX('04_ASQ_RESPONSES'!$D:$D,MATCH($A4,'04_ASQ_RESPONSES'!$A:$A,0))</f>
        <v/>
      </c>
      <c r="E4">
        <f>INDEX('04_ASQ_RESPONSES'!$E:$E,MATCH($A4,'04_ASQ_RESPONSES'!$A:$A,0))</f>
        <v/>
      </c>
      <c r="F4">
        <f>INDEX('04_ASQ_RESPONSES'!$F:$F,MATCH($A4,'04_ASQ_RESPONSES'!$A:$A,0))</f>
        <v/>
      </c>
      <c r="G4">
        <f>INDEX('04_ASQ_RESPONSES'!$G:$G,MATCH($A4,'04_ASQ_RESPONSES'!$A:$A,0))</f>
        <v/>
      </c>
      <c r="H4">
        <f>INDEX('05_TASK_PERFORMANCE'!$D:$D,MATCH($A4,'05_TASK_PERFORMANCE'!$A:$A,0))</f>
        <v/>
      </c>
      <c r="I4">
        <f>INDEX('05_TASK_PERFORMANCE'!$E:$E,MATCH($A4,'05_TASK_PERFORMANCE'!$A:$A,0))</f>
        <v/>
      </c>
      <c r="J4">
        <f>INDEX('05_TASK_PERFORMANCE'!$F:$F,MATCH($A4,'05_TASK_PERFORMANCE'!$A:$A,0))</f>
        <v/>
      </c>
      <c r="K4">
        <f>INDEX('06_SYSTEM_METRICS'!$D:$D,MATCH($A4,'06_SYSTEM_METRICS'!$A:$A,0))</f>
        <v/>
      </c>
      <c r="L4">
        <f>INDEX('07_CITATION_EVALUATION'!$F:$F,MATCH($A4,'07_CITATION_EVALUATION'!$A:$A,0))</f>
        <v/>
      </c>
      <c r="M4">
        <f>IF(G4&lt;&gt;"",TRUE,FALSE)</f>
        <v/>
      </c>
      <c r="N4">
        <f>IF(H4&lt;&gt;"",TRUE,FALSE)</f>
        <v/>
      </c>
      <c r="O4">
        <f>COUNTIF($B$2:$B$44,B4)=2</f>
        <v/>
      </c>
    </row>
    <row r="5">
      <c r="A5">
        <f>'03_OBSERVATIONS'!A5</f>
        <v/>
      </c>
      <c r="B5">
        <f>INDEX('04_ASQ_RESPONSES'!$B:$B,MATCH($A5,'04_ASQ_RESPONSES'!$A:$A,0))</f>
        <v/>
      </c>
      <c r="C5">
        <f>INDEX('04_ASQ_RESPONSES'!$C:$C,MATCH($A5,'04_ASQ_RESPONSES'!$A:$A,0))</f>
        <v/>
      </c>
      <c r="D5">
        <f>INDEX('04_ASQ_RESPONSES'!$D:$D,MATCH($A5,'04_ASQ_RESPONSES'!$A:$A,0))</f>
        <v/>
      </c>
      <c r="E5">
        <f>INDEX('04_ASQ_RESPONSES'!$E:$E,MATCH($A5,'04_ASQ_RESPONSES'!$A:$A,0))</f>
        <v/>
      </c>
      <c r="F5">
        <f>INDEX('04_ASQ_RESPONSES'!$F:$F,MATCH($A5,'04_ASQ_RESPONSES'!$A:$A,0))</f>
        <v/>
      </c>
      <c r="G5">
        <f>INDEX('04_ASQ_RESPONSES'!$G:$G,MATCH($A5,'04_ASQ_RESPONSES'!$A:$A,0))</f>
        <v/>
      </c>
      <c r="H5">
        <f>INDEX('05_TASK_PERFORMANCE'!$D:$D,MATCH($A5,'05_TASK_PERFORMANCE'!$A:$A,0))</f>
        <v/>
      </c>
      <c r="I5">
        <f>INDEX('05_TASK_PERFORMANCE'!$E:$E,MATCH($A5,'05_TASK_PERFORMANCE'!$A:$A,0))</f>
        <v/>
      </c>
      <c r="J5">
        <f>INDEX('05_TASK_PERFORMANCE'!$F:$F,MATCH($A5,'05_TASK_PERFORMANCE'!$A:$A,0))</f>
        <v/>
      </c>
      <c r="K5">
        <f>INDEX('06_SYSTEM_METRICS'!$D:$D,MATCH($A5,'06_SYSTEM_METRICS'!$A:$A,0))</f>
        <v/>
      </c>
      <c r="L5">
        <f>INDEX('07_CITATION_EVALUATION'!$F:$F,MATCH($A5,'07_CITATION_EVALUATION'!$A:$A,0))</f>
        <v/>
      </c>
      <c r="M5">
        <f>IF(G5&lt;&gt;"",TRUE,FALSE)</f>
        <v/>
      </c>
      <c r="N5">
        <f>IF(H5&lt;&gt;"",TRUE,FALSE)</f>
        <v/>
      </c>
      <c r="O5">
        <f>COUNTIF($B$2:$B$44,B5)=2</f>
        <v/>
      </c>
    </row>
    <row r="6">
      <c r="A6">
        <f>'03_OBSERVATIONS'!A6</f>
        <v/>
      </c>
      <c r="B6">
        <f>INDEX('04_ASQ_RESPONSES'!$B:$B,MATCH($A6,'04_ASQ_RESPONSES'!$A:$A,0))</f>
        <v/>
      </c>
      <c r="C6">
        <f>INDEX('04_ASQ_RESPONSES'!$C:$C,MATCH($A6,'04_ASQ_RESPONSES'!$A:$A,0))</f>
        <v/>
      </c>
      <c r="D6">
        <f>INDEX('04_ASQ_RESPONSES'!$D:$D,MATCH($A6,'04_ASQ_RESPONSES'!$A:$A,0))</f>
        <v/>
      </c>
      <c r="E6">
        <f>INDEX('04_ASQ_RESPONSES'!$E:$E,MATCH($A6,'04_ASQ_RESPONSES'!$A:$A,0))</f>
        <v/>
      </c>
      <c r="F6">
        <f>INDEX('04_ASQ_RESPONSES'!$F:$F,MATCH($A6,'04_ASQ_RESPONSES'!$A:$A,0))</f>
        <v/>
      </c>
      <c r="G6">
        <f>INDEX('04_ASQ_RESPONSES'!$G:$G,MATCH($A6,'04_ASQ_RESPONSES'!$A:$A,0))</f>
        <v/>
      </c>
      <c r="H6">
        <f>INDEX('05_TASK_PERFORMANCE'!$D:$D,MATCH($A6,'05_TASK_PERFORMANCE'!$A:$A,0))</f>
        <v/>
      </c>
      <c r="I6">
        <f>INDEX('05_TASK_PERFORMANCE'!$E:$E,MATCH($A6,'05_TASK_PERFORMANCE'!$A:$A,0))</f>
        <v/>
      </c>
      <c r="J6">
        <f>INDEX('05_TASK_PERFORMANCE'!$F:$F,MATCH($A6,'05_TASK_PERFORMANCE'!$A:$A,0))</f>
        <v/>
      </c>
      <c r="K6">
        <f>INDEX('06_SYSTEM_METRICS'!$D:$D,MATCH($A6,'06_SYSTEM_METRICS'!$A:$A,0))</f>
        <v/>
      </c>
      <c r="L6">
        <f>INDEX('07_CITATION_EVALUATION'!$F:$F,MATCH($A6,'07_CITATION_EVALUATION'!$A:$A,0))</f>
        <v/>
      </c>
      <c r="M6">
        <f>IF(G6&lt;&gt;"",TRUE,FALSE)</f>
        <v/>
      </c>
      <c r="N6">
        <f>IF(H6&lt;&gt;"",TRUE,FALSE)</f>
        <v/>
      </c>
      <c r="O6">
        <f>COUNTIF($B$2:$B$44,B6)=2</f>
        <v/>
      </c>
    </row>
    <row r="7">
      <c r="A7">
        <f>'03_OBSERVATIONS'!A7</f>
        <v/>
      </c>
      <c r="B7">
        <f>INDEX('04_ASQ_RESPONSES'!$B:$B,MATCH($A7,'04_ASQ_RESPONSES'!$A:$A,0))</f>
        <v/>
      </c>
      <c r="C7">
        <f>INDEX('04_ASQ_RESPONSES'!$C:$C,MATCH($A7,'04_ASQ_RESPONSES'!$A:$A,0))</f>
        <v/>
      </c>
      <c r="D7">
        <f>INDEX('04_ASQ_RESPONSES'!$D:$D,MATCH($A7,'04_ASQ_RESPONSES'!$A:$A,0))</f>
        <v/>
      </c>
      <c r="E7">
        <f>INDEX('04_ASQ_RESPONSES'!$E:$E,MATCH($A7,'04_ASQ_RESPONSES'!$A:$A,0))</f>
        <v/>
      </c>
      <c r="F7">
        <f>INDEX('04_ASQ_RESPONSES'!$F:$F,MATCH($A7,'04_ASQ_RESPONSES'!$A:$A,0))</f>
        <v/>
      </c>
      <c r="G7">
        <f>INDEX('04_ASQ_RESPONSES'!$G:$G,MATCH($A7,'04_ASQ_RESPONSES'!$A:$A,0))</f>
        <v/>
      </c>
      <c r="H7">
        <f>INDEX('05_TASK_PERFORMANCE'!$D:$D,MATCH($A7,'05_TASK_PERFORMANCE'!$A:$A,0))</f>
        <v/>
      </c>
      <c r="I7">
        <f>INDEX('05_TASK_PERFORMANCE'!$E:$E,MATCH($A7,'05_TASK_PERFORMANCE'!$A:$A,0))</f>
        <v/>
      </c>
      <c r="J7">
        <f>INDEX('05_TASK_PERFORMANCE'!$F:$F,MATCH($A7,'05_TASK_PERFORMANCE'!$A:$A,0))</f>
        <v/>
      </c>
      <c r="K7">
        <f>INDEX('06_SYSTEM_METRICS'!$D:$D,MATCH($A7,'06_SYSTEM_METRICS'!$A:$A,0))</f>
        <v/>
      </c>
      <c r="L7">
        <f>INDEX('07_CITATION_EVALUATION'!$F:$F,MATCH($A7,'07_CITATION_EVALUATION'!$A:$A,0))</f>
        <v/>
      </c>
      <c r="M7">
        <f>IF(G7&lt;&gt;"",TRUE,FALSE)</f>
        <v/>
      </c>
      <c r="N7">
        <f>IF(H7&lt;&gt;"",TRUE,FALSE)</f>
        <v/>
      </c>
      <c r="O7">
        <f>COUNTIF($B$2:$B$44,B7)=2</f>
        <v/>
      </c>
    </row>
    <row r="8">
      <c r="A8">
        <f>'03_OBSERVATIONS'!A8</f>
        <v/>
      </c>
      <c r="B8">
        <f>INDEX('04_ASQ_RESPONSES'!$B:$B,MATCH($A8,'04_ASQ_RESPONSES'!$A:$A,0))</f>
        <v/>
      </c>
      <c r="C8">
        <f>INDEX('04_ASQ_RESPONSES'!$C:$C,MATCH($A8,'04_ASQ_RESPONSES'!$A:$A,0))</f>
        <v/>
      </c>
      <c r="D8">
        <f>INDEX('04_ASQ_RESPONSES'!$D:$D,MATCH($A8,'04_ASQ_RESPONSES'!$A:$A,0))</f>
        <v/>
      </c>
      <c r="E8">
        <f>INDEX('04_ASQ_RESPONSES'!$E:$E,MATCH($A8,'04_ASQ_RESPONSES'!$A:$A,0))</f>
        <v/>
      </c>
      <c r="F8">
        <f>INDEX('04_ASQ_RESPONSES'!$F:$F,MATCH($A8,'04_ASQ_RESPONSES'!$A:$A,0))</f>
        <v/>
      </c>
      <c r="G8">
        <f>INDEX('04_ASQ_RESPONSES'!$G:$G,MATCH($A8,'04_ASQ_RESPONSES'!$A:$A,0))</f>
        <v/>
      </c>
      <c r="H8">
        <f>INDEX('05_TASK_PERFORMANCE'!$D:$D,MATCH($A8,'05_TASK_PERFORMANCE'!$A:$A,0))</f>
        <v/>
      </c>
      <c r="I8">
        <f>INDEX('05_TASK_PERFORMANCE'!$E:$E,MATCH($A8,'05_TASK_PERFORMANCE'!$A:$A,0))</f>
        <v/>
      </c>
      <c r="J8">
        <f>INDEX('05_TASK_PERFORMANCE'!$F:$F,MATCH($A8,'05_TASK_PERFORMANCE'!$A:$A,0))</f>
        <v/>
      </c>
      <c r="K8">
        <f>INDEX('06_SYSTEM_METRICS'!$D:$D,MATCH($A8,'06_SYSTEM_METRICS'!$A:$A,0))</f>
        <v/>
      </c>
      <c r="L8">
        <f>INDEX('07_CITATION_EVALUATION'!$F:$F,MATCH($A8,'07_CITATION_EVALUATION'!$A:$A,0))</f>
        <v/>
      </c>
      <c r="M8">
        <f>IF(G8&lt;&gt;"",TRUE,FALSE)</f>
        <v/>
      </c>
      <c r="N8">
        <f>IF(H8&lt;&gt;"",TRUE,FALSE)</f>
        <v/>
      </c>
      <c r="O8">
        <f>COUNTIF($B$2:$B$44,B8)=2</f>
        <v/>
      </c>
    </row>
    <row r="9">
      <c r="A9">
        <f>'03_OBSERVATIONS'!A9</f>
        <v/>
      </c>
      <c r="B9">
        <f>INDEX('04_ASQ_RESPONSES'!$B:$B,MATCH($A9,'04_ASQ_RESPONSES'!$A:$A,0))</f>
        <v/>
      </c>
      <c r="C9">
        <f>INDEX('04_ASQ_RESPONSES'!$C:$C,MATCH($A9,'04_ASQ_RESPONSES'!$A:$A,0))</f>
        <v/>
      </c>
      <c r="D9">
        <f>INDEX('04_ASQ_RESPONSES'!$D:$D,MATCH($A9,'04_ASQ_RESPONSES'!$A:$A,0))</f>
        <v/>
      </c>
      <c r="E9">
        <f>INDEX('04_ASQ_RESPONSES'!$E:$E,MATCH($A9,'04_ASQ_RESPONSES'!$A:$A,0))</f>
        <v/>
      </c>
      <c r="F9">
        <f>INDEX('04_ASQ_RESPONSES'!$F:$F,MATCH($A9,'04_ASQ_RESPONSES'!$A:$A,0))</f>
        <v/>
      </c>
      <c r="G9">
        <f>INDEX('04_ASQ_RESPONSES'!$G:$G,MATCH($A9,'04_ASQ_RESPONSES'!$A:$A,0))</f>
        <v/>
      </c>
      <c r="H9">
        <f>INDEX('05_TASK_PERFORMANCE'!$D:$D,MATCH($A9,'05_TASK_PERFORMANCE'!$A:$A,0))</f>
        <v/>
      </c>
      <c r="I9">
        <f>INDEX('05_TASK_PERFORMANCE'!$E:$E,MATCH($A9,'05_TASK_PERFORMANCE'!$A:$A,0))</f>
        <v/>
      </c>
      <c r="J9">
        <f>INDEX('05_TASK_PERFORMANCE'!$F:$F,MATCH($A9,'05_TASK_PERFORMANCE'!$A:$A,0))</f>
        <v/>
      </c>
      <c r="K9">
        <f>INDEX('06_SYSTEM_METRICS'!$D:$D,MATCH($A9,'06_SYSTEM_METRICS'!$A:$A,0))</f>
        <v/>
      </c>
      <c r="L9">
        <f>INDEX('07_CITATION_EVALUATION'!$F:$F,MATCH($A9,'07_CITATION_EVALUATION'!$A:$A,0))</f>
        <v/>
      </c>
      <c r="M9">
        <f>IF(G9&lt;&gt;"",TRUE,FALSE)</f>
        <v/>
      </c>
      <c r="N9">
        <f>IF(H9&lt;&gt;"",TRUE,FALSE)</f>
        <v/>
      </c>
      <c r="O9">
        <f>COUNTIF($B$2:$B$44,B9)=2</f>
        <v/>
      </c>
    </row>
    <row r="10">
      <c r="A10">
        <f>'03_OBSERVATIONS'!A10</f>
        <v/>
      </c>
      <c r="B10">
        <f>INDEX('04_ASQ_RESPONSES'!$B:$B,MATCH($A10,'04_ASQ_RESPONSES'!$A:$A,0))</f>
        <v/>
      </c>
      <c r="C10">
        <f>INDEX('04_ASQ_RESPONSES'!$C:$C,MATCH($A10,'04_ASQ_RESPONSES'!$A:$A,0))</f>
        <v/>
      </c>
      <c r="D10">
        <f>INDEX('04_ASQ_RESPONSES'!$D:$D,MATCH($A10,'04_ASQ_RESPONSES'!$A:$A,0))</f>
        <v/>
      </c>
      <c r="E10">
        <f>INDEX('04_ASQ_RESPONSES'!$E:$E,MATCH($A10,'04_ASQ_RESPONSES'!$A:$A,0))</f>
        <v/>
      </c>
      <c r="F10">
        <f>INDEX('04_ASQ_RESPONSES'!$F:$F,MATCH($A10,'04_ASQ_RESPONSES'!$A:$A,0))</f>
        <v/>
      </c>
      <c r="G10">
        <f>INDEX('04_ASQ_RESPONSES'!$G:$G,MATCH($A10,'04_ASQ_RESPONSES'!$A:$A,0))</f>
        <v/>
      </c>
      <c r="H10">
        <f>INDEX('05_TASK_PERFORMANCE'!$D:$D,MATCH($A10,'05_TASK_PERFORMANCE'!$A:$A,0))</f>
        <v/>
      </c>
      <c r="I10">
        <f>INDEX('05_TASK_PERFORMANCE'!$E:$E,MATCH($A10,'05_TASK_PERFORMANCE'!$A:$A,0))</f>
        <v/>
      </c>
      <c r="J10">
        <f>INDEX('05_TASK_PERFORMANCE'!$F:$F,MATCH($A10,'05_TASK_PERFORMANCE'!$A:$A,0))</f>
        <v/>
      </c>
      <c r="K10">
        <f>INDEX('06_SYSTEM_METRICS'!$D:$D,MATCH($A10,'06_SYSTEM_METRICS'!$A:$A,0))</f>
        <v/>
      </c>
      <c r="L10">
        <f>INDEX('07_CITATION_EVALUATION'!$F:$F,MATCH($A10,'07_CITATION_EVALUATION'!$A:$A,0))</f>
        <v/>
      </c>
      <c r="M10">
        <f>IF(G10&lt;&gt;"",TRUE,FALSE)</f>
        <v/>
      </c>
      <c r="N10">
        <f>IF(H10&lt;&gt;"",TRUE,FALSE)</f>
        <v/>
      </c>
      <c r="O10">
        <f>COUNTIF($B$2:$B$44,B10)=2</f>
        <v/>
      </c>
    </row>
    <row r="11">
      <c r="A11">
        <f>'03_OBSERVATIONS'!A11</f>
        <v/>
      </c>
      <c r="B11">
        <f>INDEX('04_ASQ_RESPONSES'!$B:$B,MATCH($A11,'04_ASQ_RESPONSES'!$A:$A,0))</f>
        <v/>
      </c>
      <c r="C11">
        <f>INDEX('04_ASQ_RESPONSES'!$C:$C,MATCH($A11,'04_ASQ_RESPONSES'!$A:$A,0))</f>
        <v/>
      </c>
      <c r="D11">
        <f>INDEX('04_ASQ_RESPONSES'!$D:$D,MATCH($A11,'04_ASQ_RESPONSES'!$A:$A,0))</f>
        <v/>
      </c>
      <c r="E11">
        <f>INDEX('04_ASQ_RESPONSES'!$E:$E,MATCH($A11,'04_ASQ_RESPONSES'!$A:$A,0))</f>
        <v/>
      </c>
      <c r="F11">
        <f>INDEX('04_ASQ_RESPONSES'!$F:$F,MATCH($A11,'04_ASQ_RESPONSES'!$A:$A,0))</f>
        <v/>
      </c>
      <c r="G11">
        <f>INDEX('04_ASQ_RESPONSES'!$G:$G,MATCH($A11,'04_ASQ_RESPONSES'!$A:$A,0))</f>
        <v/>
      </c>
      <c r="H11">
        <f>INDEX('05_TASK_PERFORMANCE'!$D:$D,MATCH($A11,'05_TASK_PERFORMANCE'!$A:$A,0))</f>
        <v/>
      </c>
      <c r="I11">
        <f>INDEX('05_TASK_PERFORMANCE'!$E:$E,MATCH($A11,'05_TASK_PERFORMANCE'!$A:$A,0))</f>
        <v/>
      </c>
      <c r="J11">
        <f>INDEX('05_TASK_PERFORMANCE'!$F:$F,MATCH($A11,'05_TASK_PERFORMANCE'!$A:$A,0))</f>
        <v/>
      </c>
      <c r="K11">
        <f>INDEX('06_SYSTEM_METRICS'!$D:$D,MATCH($A11,'06_SYSTEM_METRICS'!$A:$A,0))</f>
        <v/>
      </c>
      <c r="L11">
        <f>INDEX('07_CITATION_EVALUATION'!$F:$F,MATCH($A11,'07_CITATION_EVALUATION'!$A:$A,0))</f>
        <v/>
      </c>
      <c r="M11">
        <f>IF(G11&lt;&gt;"",TRUE,FALSE)</f>
        <v/>
      </c>
      <c r="N11">
        <f>IF(H11&lt;&gt;"",TRUE,FALSE)</f>
        <v/>
      </c>
      <c r="O11">
        <f>COUNTIF($B$2:$B$44,B11)=2</f>
        <v/>
      </c>
    </row>
    <row r="12">
      <c r="A12">
        <f>'03_OBSERVATIONS'!A12</f>
        <v/>
      </c>
      <c r="B12">
        <f>INDEX('04_ASQ_RESPONSES'!$B:$B,MATCH($A12,'04_ASQ_RESPONSES'!$A:$A,0))</f>
        <v/>
      </c>
      <c r="C12">
        <f>INDEX('04_ASQ_RESPONSES'!$C:$C,MATCH($A12,'04_ASQ_RESPONSES'!$A:$A,0))</f>
        <v/>
      </c>
      <c r="D12">
        <f>INDEX('04_ASQ_RESPONSES'!$D:$D,MATCH($A12,'04_ASQ_RESPONSES'!$A:$A,0))</f>
        <v/>
      </c>
      <c r="E12">
        <f>INDEX('04_ASQ_RESPONSES'!$E:$E,MATCH($A12,'04_ASQ_RESPONSES'!$A:$A,0))</f>
        <v/>
      </c>
      <c r="F12">
        <f>INDEX('04_ASQ_RESPONSES'!$F:$F,MATCH($A12,'04_ASQ_RESPONSES'!$A:$A,0))</f>
        <v/>
      </c>
      <c r="G12">
        <f>INDEX('04_ASQ_RESPONSES'!$G:$G,MATCH($A12,'04_ASQ_RESPONSES'!$A:$A,0))</f>
        <v/>
      </c>
      <c r="H12">
        <f>INDEX('05_TASK_PERFORMANCE'!$D:$D,MATCH($A12,'05_TASK_PERFORMANCE'!$A:$A,0))</f>
        <v/>
      </c>
      <c r="I12">
        <f>INDEX('05_TASK_PERFORMANCE'!$E:$E,MATCH($A12,'05_TASK_PERFORMANCE'!$A:$A,0))</f>
        <v/>
      </c>
      <c r="J12">
        <f>INDEX('05_TASK_PERFORMANCE'!$F:$F,MATCH($A12,'05_TASK_PERFORMANCE'!$A:$A,0))</f>
        <v/>
      </c>
      <c r="K12">
        <f>INDEX('06_SYSTEM_METRICS'!$D:$D,MATCH($A12,'06_SYSTEM_METRICS'!$A:$A,0))</f>
        <v/>
      </c>
      <c r="L12">
        <f>INDEX('07_CITATION_EVALUATION'!$F:$F,MATCH($A12,'07_CITATION_EVALUATION'!$A:$A,0))</f>
        <v/>
      </c>
      <c r="M12">
        <f>IF(G12&lt;&gt;"",TRUE,FALSE)</f>
        <v/>
      </c>
      <c r="N12">
        <f>IF(H12&lt;&gt;"",TRUE,FALSE)</f>
        <v/>
      </c>
      <c r="O12">
        <f>COUNTIF($B$2:$B$44,B12)=2</f>
        <v/>
      </c>
    </row>
    <row r="13">
      <c r="A13">
        <f>'03_OBSERVATIONS'!A13</f>
        <v/>
      </c>
      <c r="B13">
        <f>INDEX('04_ASQ_RESPONSES'!$B:$B,MATCH($A13,'04_ASQ_RESPONSES'!$A:$A,0))</f>
        <v/>
      </c>
      <c r="C13">
        <f>INDEX('04_ASQ_RESPONSES'!$C:$C,MATCH($A13,'04_ASQ_RESPONSES'!$A:$A,0))</f>
        <v/>
      </c>
      <c r="D13">
        <f>INDEX('04_ASQ_RESPONSES'!$D:$D,MATCH($A13,'04_ASQ_RESPONSES'!$A:$A,0))</f>
        <v/>
      </c>
      <c r="E13">
        <f>INDEX('04_ASQ_RESPONSES'!$E:$E,MATCH($A13,'04_ASQ_RESPONSES'!$A:$A,0))</f>
        <v/>
      </c>
      <c r="F13">
        <f>INDEX('04_ASQ_RESPONSES'!$F:$F,MATCH($A13,'04_ASQ_RESPONSES'!$A:$A,0))</f>
        <v/>
      </c>
      <c r="G13">
        <f>INDEX('04_ASQ_RESPONSES'!$G:$G,MATCH($A13,'04_ASQ_RESPONSES'!$A:$A,0))</f>
        <v/>
      </c>
      <c r="H13">
        <f>INDEX('05_TASK_PERFORMANCE'!$D:$D,MATCH($A13,'05_TASK_PERFORMANCE'!$A:$A,0))</f>
        <v/>
      </c>
      <c r="I13">
        <f>INDEX('05_TASK_PERFORMANCE'!$E:$E,MATCH($A13,'05_TASK_PERFORMANCE'!$A:$A,0))</f>
        <v/>
      </c>
      <c r="J13">
        <f>INDEX('05_TASK_PERFORMANCE'!$F:$F,MATCH($A13,'05_TASK_PERFORMANCE'!$A:$A,0))</f>
        <v/>
      </c>
      <c r="K13">
        <f>INDEX('06_SYSTEM_METRICS'!$D:$D,MATCH($A13,'06_SYSTEM_METRICS'!$A:$A,0))</f>
        <v/>
      </c>
      <c r="L13">
        <f>INDEX('07_CITATION_EVALUATION'!$F:$F,MATCH($A13,'07_CITATION_EVALUATION'!$A:$A,0))</f>
        <v/>
      </c>
      <c r="M13">
        <f>IF(G13&lt;&gt;"",TRUE,FALSE)</f>
        <v/>
      </c>
      <c r="N13">
        <f>IF(H13&lt;&gt;"",TRUE,FALSE)</f>
        <v/>
      </c>
      <c r="O13">
        <f>COUNTIF($B$2:$B$44,B13)=2</f>
        <v/>
      </c>
    </row>
    <row r="14">
      <c r="A14">
        <f>'03_OBSERVATIONS'!A14</f>
        <v/>
      </c>
      <c r="B14">
        <f>INDEX('04_ASQ_RESPONSES'!$B:$B,MATCH($A14,'04_ASQ_RESPONSES'!$A:$A,0))</f>
        <v/>
      </c>
      <c r="C14">
        <f>INDEX('04_ASQ_RESPONSES'!$C:$C,MATCH($A14,'04_ASQ_RESPONSES'!$A:$A,0))</f>
        <v/>
      </c>
      <c r="D14">
        <f>INDEX('04_ASQ_RESPONSES'!$D:$D,MATCH($A14,'04_ASQ_RESPONSES'!$A:$A,0))</f>
        <v/>
      </c>
      <c r="E14">
        <f>INDEX('04_ASQ_RESPONSES'!$E:$E,MATCH($A14,'04_ASQ_RESPONSES'!$A:$A,0))</f>
        <v/>
      </c>
      <c r="F14">
        <f>INDEX('04_ASQ_RESPONSES'!$F:$F,MATCH($A14,'04_ASQ_RESPONSES'!$A:$A,0))</f>
        <v/>
      </c>
      <c r="G14">
        <f>INDEX('04_ASQ_RESPONSES'!$G:$G,MATCH($A14,'04_ASQ_RESPONSES'!$A:$A,0))</f>
        <v/>
      </c>
      <c r="H14">
        <f>INDEX('05_TASK_PERFORMANCE'!$D:$D,MATCH($A14,'05_TASK_PERFORMANCE'!$A:$A,0))</f>
        <v/>
      </c>
      <c r="I14">
        <f>INDEX('05_TASK_PERFORMANCE'!$E:$E,MATCH($A14,'05_TASK_PERFORMANCE'!$A:$A,0))</f>
        <v/>
      </c>
      <c r="J14">
        <f>INDEX('05_TASK_PERFORMANCE'!$F:$F,MATCH($A14,'05_TASK_PERFORMANCE'!$A:$A,0))</f>
        <v/>
      </c>
      <c r="K14">
        <f>INDEX('06_SYSTEM_METRICS'!$D:$D,MATCH($A14,'06_SYSTEM_METRICS'!$A:$A,0))</f>
        <v/>
      </c>
      <c r="L14">
        <f>INDEX('07_CITATION_EVALUATION'!$F:$F,MATCH($A14,'07_CITATION_EVALUATION'!$A:$A,0))</f>
        <v/>
      </c>
      <c r="M14">
        <f>IF(G14&lt;&gt;"",TRUE,FALSE)</f>
        <v/>
      </c>
      <c r="N14">
        <f>IF(H14&lt;&gt;"",TRUE,FALSE)</f>
        <v/>
      </c>
      <c r="O14">
        <f>COUNTIF($B$2:$B$44,B14)=2</f>
        <v/>
      </c>
    </row>
    <row r="15">
      <c r="A15">
        <f>'03_OBSERVATIONS'!A15</f>
        <v/>
      </c>
      <c r="B15">
        <f>INDEX('04_ASQ_RESPONSES'!$B:$B,MATCH($A15,'04_ASQ_RESPONSES'!$A:$A,0))</f>
        <v/>
      </c>
      <c r="C15">
        <f>INDEX('04_ASQ_RESPONSES'!$C:$C,MATCH($A15,'04_ASQ_RESPONSES'!$A:$A,0))</f>
        <v/>
      </c>
      <c r="D15">
        <f>INDEX('04_ASQ_RESPONSES'!$D:$D,MATCH($A15,'04_ASQ_RESPONSES'!$A:$A,0))</f>
        <v/>
      </c>
      <c r="E15">
        <f>INDEX('04_ASQ_RESPONSES'!$E:$E,MATCH($A15,'04_ASQ_RESPONSES'!$A:$A,0))</f>
        <v/>
      </c>
      <c r="F15">
        <f>INDEX('04_ASQ_RESPONSES'!$F:$F,MATCH($A15,'04_ASQ_RESPONSES'!$A:$A,0))</f>
        <v/>
      </c>
      <c r="G15">
        <f>INDEX('04_ASQ_RESPONSES'!$G:$G,MATCH($A15,'04_ASQ_RESPONSES'!$A:$A,0))</f>
        <v/>
      </c>
      <c r="H15">
        <f>INDEX('05_TASK_PERFORMANCE'!$D:$D,MATCH($A15,'05_TASK_PERFORMANCE'!$A:$A,0))</f>
        <v/>
      </c>
      <c r="I15">
        <f>INDEX('05_TASK_PERFORMANCE'!$E:$E,MATCH($A15,'05_TASK_PERFORMANCE'!$A:$A,0))</f>
        <v/>
      </c>
      <c r="J15">
        <f>INDEX('05_TASK_PERFORMANCE'!$F:$F,MATCH($A15,'05_TASK_PERFORMANCE'!$A:$A,0))</f>
        <v/>
      </c>
      <c r="K15">
        <f>INDEX('06_SYSTEM_METRICS'!$D:$D,MATCH($A15,'06_SYSTEM_METRICS'!$A:$A,0))</f>
        <v/>
      </c>
      <c r="L15">
        <f>INDEX('07_CITATION_EVALUATION'!$F:$F,MATCH($A15,'07_CITATION_EVALUATION'!$A:$A,0))</f>
        <v/>
      </c>
      <c r="M15">
        <f>IF(G15&lt;&gt;"",TRUE,FALSE)</f>
        <v/>
      </c>
      <c r="N15">
        <f>IF(H15&lt;&gt;"",TRUE,FALSE)</f>
        <v/>
      </c>
      <c r="O15">
        <f>COUNTIF($B$2:$B$44,B15)=2</f>
        <v/>
      </c>
    </row>
    <row r="16">
      <c r="A16">
        <f>'03_OBSERVATIONS'!A16</f>
        <v/>
      </c>
      <c r="B16">
        <f>INDEX('04_ASQ_RESPONSES'!$B:$B,MATCH($A16,'04_ASQ_RESPONSES'!$A:$A,0))</f>
        <v/>
      </c>
      <c r="C16">
        <f>INDEX('04_ASQ_RESPONSES'!$C:$C,MATCH($A16,'04_ASQ_RESPONSES'!$A:$A,0))</f>
        <v/>
      </c>
      <c r="D16">
        <f>INDEX('04_ASQ_RESPONSES'!$D:$D,MATCH($A16,'04_ASQ_RESPONSES'!$A:$A,0))</f>
        <v/>
      </c>
      <c r="E16">
        <f>INDEX('04_ASQ_RESPONSES'!$E:$E,MATCH($A16,'04_ASQ_RESPONSES'!$A:$A,0))</f>
        <v/>
      </c>
      <c r="F16">
        <f>INDEX('04_ASQ_RESPONSES'!$F:$F,MATCH($A16,'04_ASQ_RESPONSES'!$A:$A,0))</f>
        <v/>
      </c>
      <c r="G16">
        <f>INDEX('04_ASQ_RESPONSES'!$G:$G,MATCH($A16,'04_ASQ_RESPONSES'!$A:$A,0))</f>
        <v/>
      </c>
      <c r="H16">
        <f>INDEX('05_TASK_PERFORMANCE'!$D:$D,MATCH($A16,'05_TASK_PERFORMANCE'!$A:$A,0))</f>
        <v/>
      </c>
      <c r="I16">
        <f>INDEX('05_TASK_PERFORMANCE'!$E:$E,MATCH($A16,'05_TASK_PERFORMANCE'!$A:$A,0))</f>
        <v/>
      </c>
      <c r="J16">
        <f>INDEX('05_TASK_PERFORMANCE'!$F:$F,MATCH($A16,'05_TASK_PERFORMANCE'!$A:$A,0))</f>
        <v/>
      </c>
      <c r="K16">
        <f>INDEX('06_SYSTEM_METRICS'!$D:$D,MATCH($A16,'06_SYSTEM_METRICS'!$A:$A,0))</f>
        <v/>
      </c>
      <c r="L16">
        <f>INDEX('07_CITATION_EVALUATION'!$F:$F,MATCH($A16,'07_CITATION_EVALUATION'!$A:$A,0))</f>
        <v/>
      </c>
      <c r="M16">
        <f>IF(G16&lt;&gt;"",TRUE,FALSE)</f>
        <v/>
      </c>
      <c r="N16">
        <f>IF(H16&lt;&gt;"",TRUE,FALSE)</f>
        <v/>
      </c>
      <c r="O16">
        <f>COUNTIF($B$2:$B$44,B16)=2</f>
        <v/>
      </c>
    </row>
    <row r="17">
      <c r="A17">
        <f>'03_OBSERVATIONS'!A17</f>
        <v/>
      </c>
      <c r="B17">
        <f>INDEX('04_ASQ_RESPONSES'!$B:$B,MATCH($A17,'04_ASQ_RESPONSES'!$A:$A,0))</f>
        <v/>
      </c>
      <c r="C17">
        <f>INDEX('04_ASQ_RESPONSES'!$C:$C,MATCH($A17,'04_ASQ_RESPONSES'!$A:$A,0))</f>
        <v/>
      </c>
      <c r="D17">
        <f>INDEX('04_ASQ_RESPONSES'!$D:$D,MATCH($A17,'04_ASQ_RESPONSES'!$A:$A,0))</f>
        <v/>
      </c>
      <c r="E17">
        <f>INDEX('04_ASQ_RESPONSES'!$E:$E,MATCH($A17,'04_ASQ_RESPONSES'!$A:$A,0))</f>
        <v/>
      </c>
      <c r="F17">
        <f>INDEX('04_ASQ_RESPONSES'!$F:$F,MATCH($A17,'04_ASQ_RESPONSES'!$A:$A,0))</f>
        <v/>
      </c>
      <c r="G17">
        <f>INDEX('04_ASQ_RESPONSES'!$G:$G,MATCH($A17,'04_ASQ_RESPONSES'!$A:$A,0))</f>
        <v/>
      </c>
      <c r="H17">
        <f>INDEX('05_TASK_PERFORMANCE'!$D:$D,MATCH($A17,'05_TASK_PERFORMANCE'!$A:$A,0))</f>
        <v/>
      </c>
      <c r="I17">
        <f>INDEX('05_TASK_PERFORMANCE'!$E:$E,MATCH($A17,'05_TASK_PERFORMANCE'!$A:$A,0))</f>
        <v/>
      </c>
      <c r="J17">
        <f>INDEX('05_TASK_PERFORMANCE'!$F:$F,MATCH($A17,'05_TASK_PERFORMANCE'!$A:$A,0))</f>
        <v/>
      </c>
      <c r="K17">
        <f>INDEX('06_SYSTEM_METRICS'!$D:$D,MATCH($A17,'06_SYSTEM_METRICS'!$A:$A,0))</f>
        <v/>
      </c>
      <c r="L17">
        <f>INDEX('07_CITATION_EVALUATION'!$F:$F,MATCH($A17,'07_CITATION_EVALUATION'!$A:$A,0))</f>
        <v/>
      </c>
      <c r="M17">
        <f>IF(G17&lt;&gt;"",TRUE,FALSE)</f>
        <v/>
      </c>
      <c r="N17">
        <f>IF(H17&lt;&gt;"",TRUE,FALSE)</f>
        <v/>
      </c>
      <c r="O17">
        <f>COUNTIF($B$2:$B$44,B17)=2</f>
        <v/>
      </c>
    </row>
    <row r="18">
      <c r="A18">
        <f>'03_OBSERVATIONS'!A18</f>
        <v/>
      </c>
      <c r="B18">
        <f>INDEX('04_ASQ_RESPONSES'!$B:$B,MATCH($A18,'04_ASQ_RESPONSES'!$A:$A,0))</f>
        <v/>
      </c>
      <c r="C18">
        <f>INDEX('04_ASQ_RESPONSES'!$C:$C,MATCH($A18,'04_ASQ_RESPONSES'!$A:$A,0))</f>
        <v/>
      </c>
      <c r="D18">
        <f>INDEX('04_ASQ_RESPONSES'!$D:$D,MATCH($A18,'04_ASQ_RESPONSES'!$A:$A,0))</f>
        <v/>
      </c>
      <c r="E18">
        <f>INDEX('04_ASQ_RESPONSES'!$E:$E,MATCH($A18,'04_ASQ_RESPONSES'!$A:$A,0))</f>
        <v/>
      </c>
      <c r="F18">
        <f>INDEX('04_ASQ_RESPONSES'!$F:$F,MATCH($A18,'04_ASQ_RESPONSES'!$A:$A,0))</f>
        <v/>
      </c>
      <c r="G18">
        <f>INDEX('04_ASQ_RESPONSES'!$G:$G,MATCH($A18,'04_ASQ_RESPONSES'!$A:$A,0))</f>
        <v/>
      </c>
      <c r="H18">
        <f>INDEX('05_TASK_PERFORMANCE'!$D:$D,MATCH($A18,'05_TASK_PERFORMANCE'!$A:$A,0))</f>
        <v/>
      </c>
      <c r="I18">
        <f>INDEX('05_TASK_PERFORMANCE'!$E:$E,MATCH($A18,'05_TASK_PERFORMANCE'!$A:$A,0))</f>
        <v/>
      </c>
      <c r="J18">
        <f>INDEX('05_TASK_PERFORMANCE'!$F:$F,MATCH($A18,'05_TASK_PERFORMANCE'!$A:$A,0))</f>
        <v/>
      </c>
      <c r="K18">
        <f>INDEX('06_SYSTEM_METRICS'!$D:$D,MATCH($A18,'06_SYSTEM_METRICS'!$A:$A,0))</f>
        <v/>
      </c>
      <c r="L18">
        <f>INDEX('07_CITATION_EVALUATION'!$F:$F,MATCH($A18,'07_CITATION_EVALUATION'!$A:$A,0))</f>
        <v/>
      </c>
      <c r="M18">
        <f>IF(G18&lt;&gt;"",TRUE,FALSE)</f>
        <v/>
      </c>
      <c r="N18">
        <f>IF(H18&lt;&gt;"",TRUE,FALSE)</f>
        <v/>
      </c>
      <c r="O18">
        <f>COUNTIF($B$2:$B$44,B18)=2</f>
        <v/>
      </c>
    </row>
    <row r="19">
      <c r="A19">
        <f>'03_OBSERVATIONS'!A19</f>
        <v/>
      </c>
      <c r="B19">
        <f>INDEX('04_ASQ_RESPONSES'!$B:$B,MATCH($A19,'04_ASQ_RESPONSES'!$A:$A,0))</f>
        <v/>
      </c>
      <c r="C19">
        <f>INDEX('04_ASQ_RESPONSES'!$C:$C,MATCH($A19,'04_ASQ_RESPONSES'!$A:$A,0))</f>
        <v/>
      </c>
      <c r="D19">
        <f>INDEX('04_ASQ_RESPONSES'!$D:$D,MATCH($A19,'04_ASQ_RESPONSES'!$A:$A,0))</f>
        <v/>
      </c>
      <c r="E19">
        <f>INDEX('04_ASQ_RESPONSES'!$E:$E,MATCH($A19,'04_ASQ_RESPONSES'!$A:$A,0))</f>
        <v/>
      </c>
      <c r="F19">
        <f>INDEX('04_ASQ_RESPONSES'!$F:$F,MATCH($A19,'04_ASQ_RESPONSES'!$A:$A,0))</f>
        <v/>
      </c>
      <c r="G19">
        <f>INDEX('04_ASQ_RESPONSES'!$G:$G,MATCH($A19,'04_ASQ_RESPONSES'!$A:$A,0))</f>
        <v/>
      </c>
      <c r="H19">
        <f>INDEX('05_TASK_PERFORMANCE'!$D:$D,MATCH($A19,'05_TASK_PERFORMANCE'!$A:$A,0))</f>
        <v/>
      </c>
      <c r="I19">
        <f>INDEX('05_TASK_PERFORMANCE'!$E:$E,MATCH($A19,'05_TASK_PERFORMANCE'!$A:$A,0))</f>
        <v/>
      </c>
      <c r="J19">
        <f>INDEX('05_TASK_PERFORMANCE'!$F:$F,MATCH($A19,'05_TASK_PERFORMANCE'!$A:$A,0))</f>
        <v/>
      </c>
      <c r="K19">
        <f>INDEX('06_SYSTEM_METRICS'!$D:$D,MATCH($A19,'06_SYSTEM_METRICS'!$A:$A,0))</f>
        <v/>
      </c>
      <c r="L19">
        <f>INDEX('07_CITATION_EVALUATION'!$F:$F,MATCH($A19,'07_CITATION_EVALUATION'!$A:$A,0))</f>
        <v/>
      </c>
      <c r="M19">
        <f>IF(G19&lt;&gt;"",TRUE,FALSE)</f>
        <v/>
      </c>
      <c r="N19">
        <f>IF(H19&lt;&gt;"",TRUE,FALSE)</f>
        <v/>
      </c>
      <c r="O19">
        <f>COUNTIF($B$2:$B$44,B19)=2</f>
        <v/>
      </c>
    </row>
    <row r="20">
      <c r="A20">
        <f>'03_OBSERVATIONS'!A20</f>
        <v/>
      </c>
      <c r="B20">
        <f>INDEX('04_ASQ_RESPONSES'!$B:$B,MATCH($A20,'04_ASQ_RESPONSES'!$A:$A,0))</f>
        <v/>
      </c>
      <c r="C20">
        <f>INDEX('04_ASQ_RESPONSES'!$C:$C,MATCH($A20,'04_ASQ_RESPONSES'!$A:$A,0))</f>
        <v/>
      </c>
      <c r="D20">
        <f>INDEX('04_ASQ_RESPONSES'!$D:$D,MATCH($A20,'04_ASQ_RESPONSES'!$A:$A,0))</f>
        <v/>
      </c>
      <c r="E20">
        <f>INDEX('04_ASQ_RESPONSES'!$E:$E,MATCH($A20,'04_ASQ_RESPONSES'!$A:$A,0))</f>
        <v/>
      </c>
      <c r="F20">
        <f>INDEX('04_ASQ_RESPONSES'!$F:$F,MATCH($A20,'04_ASQ_RESPONSES'!$A:$A,0))</f>
        <v/>
      </c>
      <c r="G20">
        <f>INDEX('04_ASQ_RESPONSES'!$G:$G,MATCH($A20,'04_ASQ_RESPONSES'!$A:$A,0))</f>
        <v/>
      </c>
      <c r="H20">
        <f>INDEX('05_TASK_PERFORMANCE'!$D:$D,MATCH($A20,'05_TASK_PERFORMANCE'!$A:$A,0))</f>
        <v/>
      </c>
      <c r="I20">
        <f>INDEX('05_TASK_PERFORMANCE'!$E:$E,MATCH($A20,'05_TASK_PERFORMANCE'!$A:$A,0))</f>
        <v/>
      </c>
      <c r="J20">
        <f>INDEX('05_TASK_PERFORMANCE'!$F:$F,MATCH($A20,'05_TASK_PERFORMANCE'!$A:$A,0))</f>
        <v/>
      </c>
      <c r="K20">
        <f>INDEX('06_SYSTEM_METRICS'!$D:$D,MATCH($A20,'06_SYSTEM_METRICS'!$A:$A,0))</f>
        <v/>
      </c>
      <c r="L20">
        <f>INDEX('07_CITATION_EVALUATION'!$F:$F,MATCH($A20,'07_CITATION_EVALUATION'!$A:$A,0))</f>
        <v/>
      </c>
      <c r="M20">
        <f>IF(G20&lt;&gt;"",TRUE,FALSE)</f>
        <v/>
      </c>
      <c r="N20">
        <f>IF(H20&lt;&gt;"",TRUE,FALSE)</f>
        <v/>
      </c>
      <c r="O20">
        <f>COUNTIF($B$2:$B$44,B20)=2</f>
        <v/>
      </c>
    </row>
    <row r="21">
      <c r="A21">
        <f>'03_OBSERVATIONS'!A21</f>
        <v/>
      </c>
      <c r="B21">
        <f>INDEX('04_ASQ_RESPONSES'!$B:$B,MATCH($A21,'04_ASQ_RESPONSES'!$A:$A,0))</f>
        <v/>
      </c>
      <c r="C21">
        <f>INDEX('04_ASQ_RESPONSES'!$C:$C,MATCH($A21,'04_ASQ_RESPONSES'!$A:$A,0))</f>
        <v/>
      </c>
      <c r="D21">
        <f>INDEX('04_ASQ_RESPONSES'!$D:$D,MATCH($A21,'04_ASQ_RESPONSES'!$A:$A,0))</f>
        <v/>
      </c>
      <c r="E21">
        <f>INDEX('04_ASQ_RESPONSES'!$E:$E,MATCH($A21,'04_ASQ_RESPONSES'!$A:$A,0))</f>
        <v/>
      </c>
      <c r="F21">
        <f>INDEX('04_ASQ_RESPONSES'!$F:$F,MATCH($A21,'04_ASQ_RESPONSES'!$A:$A,0))</f>
        <v/>
      </c>
      <c r="G21">
        <f>INDEX('04_ASQ_RESPONSES'!$G:$G,MATCH($A21,'04_ASQ_RESPONSES'!$A:$A,0))</f>
        <v/>
      </c>
      <c r="H21">
        <f>INDEX('05_TASK_PERFORMANCE'!$D:$D,MATCH($A21,'05_TASK_PERFORMANCE'!$A:$A,0))</f>
        <v/>
      </c>
      <c r="I21">
        <f>INDEX('05_TASK_PERFORMANCE'!$E:$E,MATCH($A21,'05_TASK_PERFORMANCE'!$A:$A,0))</f>
        <v/>
      </c>
      <c r="J21">
        <f>INDEX('05_TASK_PERFORMANCE'!$F:$F,MATCH($A21,'05_TASK_PERFORMANCE'!$A:$A,0))</f>
        <v/>
      </c>
      <c r="K21">
        <f>INDEX('06_SYSTEM_METRICS'!$D:$D,MATCH($A21,'06_SYSTEM_METRICS'!$A:$A,0))</f>
        <v/>
      </c>
      <c r="L21">
        <f>INDEX('07_CITATION_EVALUATION'!$F:$F,MATCH($A21,'07_CITATION_EVALUATION'!$A:$A,0))</f>
        <v/>
      </c>
      <c r="M21">
        <f>IF(G21&lt;&gt;"",TRUE,FALSE)</f>
        <v/>
      </c>
      <c r="N21">
        <f>IF(H21&lt;&gt;"",TRUE,FALSE)</f>
        <v/>
      </c>
      <c r="O21">
        <f>COUNTIF($B$2:$B$44,B21)=2</f>
        <v/>
      </c>
    </row>
    <row r="22">
      <c r="A22">
        <f>'03_OBSERVATIONS'!A22</f>
        <v/>
      </c>
      <c r="B22">
        <f>INDEX('04_ASQ_RESPONSES'!$B:$B,MATCH($A22,'04_ASQ_RESPONSES'!$A:$A,0))</f>
        <v/>
      </c>
      <c r="C22">
        <f>INDEX('04_ASQ_RESPONSES'!$C:$C,MATCH($A22,'04_ASQ_RESPONSES'!$A:$A,0))</f>
        <v/>
      </c>
      <c r="D22">
        <f>INDEX('04_ASQ_RESPONSES'!$D:$D,MATCH($A22,'04_ASQ_RESPONSES'!$A:$A,0))</f>
        <v/>
      </c>
      <c r="E22">
        <f>INDEX('04_ASQ_RESPONSES'!$E:$E,MATCH($A22,'04_ASQ_RESPONSES'!$A:$A,0))</f>
        <v/>
      </c>
      <c r="F22">
        <f>INDEX('04_ASQ_RESPONSES'!$F:$F,MATCH($A22,'04_ASQ_RESPONSES'!$A:$A,0))</f>
        <v/>
      </c>
      <c r="G22">
        <f>INDEX('04_ASQ_RESPONSES'!$G:$G,MATCH($A22,'04_ASQ_RESPONSES'!$A:$A,0))</f>
        <v/>
      </c>
      <c r="H22">
        <f>INDEX('05_TASK_PERFORMANCE'!$D:$D,MATCH($A22,'05_TASK_PERFORMANCE'!$A:$A,0))</f>
        <v/>
      </c>
      <c r="I22">
        <f>INDEX('05_TASK_PERFORMANCE'!$E:$E,MATCH($A22,'05_TASK_PERFORMANCE'!$A:$A,0))</f>
        <v/>
      </c>
      <c r="J22">
        <f>INDEX('05_TASK_PERFORMANCE'!$F:$F,MATCH($A22,'05_TASK_PERFORMANCE'!$A:$A,0))</f>
        <v/>
      </c>
      <c r="K22">
        <f>INDEX('06_SYSTEM_METRICS'!$D:$D,MATCH($A22,'06_SYSTEM_METRICS'!$A:$A,0))</f>
        <v/>
      </c>
      <c r="L22">
        <f>INDEX('07_CITATION_EVALUATION'!$F:$F,MATCH($A22,'07_CITATION_EVALUATION'!$A:$A,0))</f>
        <v/>
      </c>
      <c r="M22">
        <f>IF(G22&lt;&gt;"",TRUE,FALSE)</f>
        <v/>
      </c>
      <c r="N22">
        <f>IF(H22&lt;&gt;"",TRUE,FALSE)</f>
        <v/>
      </c>
      <c r="O22">
        <f>COUNTIF($B$2:$B$44,B22)=2</f>
        <v/>
      </c>
    </row>
    <row r="23">
      <c r="A23">
        <f>'03_OBSERVATIONS'!A23</f>
        <v/>
      </c>
      <c r="B23">
        <f>INDEX('04_ASQ_RESPONSES'!$B:$B,MATCH($A23,'04_ASQ_RESPONSES'!$A:$A,0))</f>
        <v/>
      </c>
      <c r="C23">
        <f>INDEX('04_ASQ_RESPONSES'!$C:$C,MATCH($A23,'04_ASQ_RESPONSES'!$A:$A,0))</f>
        <v/>
      </c>
      <c r="D23">
        <f>INDEX('04_ASQ_RESPONSES'!$D:$D,MATCH($A23,'04_ASQ_RESPONSES'!$A:$A,0))</f>
        <v/>
      </c>
      <c r="E23">
        <f>INDEX('04_ASQ_RESPONSES'!$E:$E,MATCH($A23,'04_ASQ_RESPONSES'!$A:$A,0))</f>
        <v/>
      </c>
      <c r="F23">
        <f>INDEX('04_ASQ_RESPONSES'!$F:$F,MATCH($A23,'04_ASQ_RESPONSES'!$A:$A,0))</f>
        <v/>
      </c>
      <c r="G23">
        <f>INDEX('04_ASQ_RESPONSES'!$G:$G,MATCH($A23,'04_ASQ_RESPONSES'!$A:$A,0))</f>
        <v/>
      </c>
      <c r="H23">
        <f>INDEX('05_TASK_PERFORMANCE'!$D:$D,MATCH($A23,'05_TASK_PERFORMANCE'!$A:$A,0))</f>
        <v/>
      </c>
      <c r="I23">
        <f>INDEX('05_TASK_PERFORMANCE'!$E:$E,MATCH($A23,'05_TASK_PERFORMANCE'!$A:$A,0))</f>
        <v/>
      </c>
      <c r="J23">
        <f>INDEX('05_TASK_PERFORMANCE'!$F:$F,MATCH($A23,'05_TASK_PERFORMANCE'!$A:$A,0))</f>
        <v/>
      </c>
      <c r="K23">
        <f>INDEX('06_SYSTEM_METRICS'!$D:$D,MATCH($A23,'06_SYSTEM_METRICS'!$A:$A,0))</f>
        <v/>
      </c>
      <c r="L23">
        <f>INDEX('07_CITATION_EVALUATION'!$F:$F,MATCH($A23,'07_CITATION_EVALUATION'!$A:$A,0))</f>
        <v/>
      </c>
      <c r="M23">
        <f>IF(G23&lt;&gt;"",TRUE,FALSE)</f>
        <v/>
      </c>
      <c r="N23">
        <f>IF(H23&lt;&gt;"",TRUE,FALSE)</f>
        <v/>
      </c>
      <c r="O23">
        <f>COUNTIF($B$2:$B$44,B23)=2</f>
        <v/>
      </c>
    </row>
    <row r="24">
      <c r="A24">
        <f>'03_OBSERVATIONS'!A24</f>
        <v/>
      </c>
      <c r="B24">
        <f>INDEX('04_ASQ_RESPONSES'!$B:$B,MATCH($A24,'04_ASQ_RESPONSES'!$A:$A,0))</f>
        <v/>
      </c>
      <c r="C24">
        <f>INDEX('04_ASQ_RESPONSES'!$C:$C,MATCH($A24,'04_ASQ_RESPONSES'!$A:$A,0))</f>
        <v/>
      </c>
      <c r="D24">
        <f>INDEX('04_ASQ_RESPONSES'!$D:$D,MATCH($A24,'04_ASQ_RESPONSES'!$A:$A,0))</f>
        <v/>
      </c>
      <c r="E24">
        <f>INDEX('04_ASQ_RESPONSES'!$E:$E,MATCH($A24,'04_ASQ_RESPONSES'!$A:$A,0))</f>
        <v/>
      </c>
      <c r="F24">
        <f>INDEX('04_ASQ_RESPONSES'!$F:$F,MATCH($A24,'04_ASQ_RESPONSES'!$A:$A,0))</f>
        <v/>
      </c>
      <c r="G24">
        <f>INDEX('04_ASQ_RESPONSES'!$G:$G,MATCH($A24,'04_ASQ_RESPONSES'!$A:$A,0))</f>
        <v/>
      </c>
      <c r="H24">
        <f>INDEX('05_TASK_PERFORMANCE'!$D:$D,MATCH($A24,'05_TASK_PERFORMANCE'!$A:$A,0))</f>
        <v/>
      </c>
      <c r="I24">
        <f>INDEX('05_TASK_PERFORMANCE'!$E:$E,MATCH($A24,'05_TASK_PERFORMANCE'!$A:$A,0))</f>
        <v/>
      </c>
      <c r="J24">
        <f>INDEX('05_TASK_PERFORMANCE'!$F:$F,MATCH($A24,'05_TASK_PERFORMANCE'!$A:$A,0))</f>
        <v/>
      </c>
      <c r="K24">
        <f>INDEX('06_SYSTEM_METRICS'!$D:$D,MATCH($A24,'06_SYSTEM_METRICS'!$A:$A,0))</f>
        <v/>
      </c>
      <c r="L24">
        <f>INDEX('07_CITATION_EVALUATION'!$F:$F,MATCH($A24,'07_CITATION_EVALUATION'!$A:$A,0))</f>
        <v/>
      </c>
      <c r="M24">
        <f>IF(G24&lt;&gt;"",TRUE,FALSE)</f>
        <v/>
      </c>
      <c r="N24">
        <f>IF(H24&lt;&gt;"",TRUE,FALSE)</f>
        <v/>
      </c>
      <c r="O24">
        <f>COUNTIF($B$2:$B$44,B24)=2</f>
        <v/>
      </c>
    </row>
    <row r="25">
      <c r="A25">
        <f>'03_OBSERVATIONS'!A25</f>
        <v/>
      </c>
      <c r="B25">
        <f>INDEX('04_ASQ_RESPONSES'!$B:$B,MATCH($A25,'04_ASQ_RESPONSES'!$A:$A,0))</f>
        <v/>
      </c>
      <c r="C25">
        <f>INDEX('04_ASQ_RESPONSES'!$C:$C,MATCH($A25,'04_ASQ_RESPONSES'!$A:$A,0))</f>
        <v/>
      </c>
      <c r="D25">
        <f>INDEX('04_ASQ_RESPONSES'!$D:$D,MATCH($A25,'04_ASQ_RESPONSES'!$A:$A,0))</f>
        <v/>
      </c>
      <c r="E25">
        <f>INDEX('04_ASQ_RESPONSES'!$E:$E,MATCH($A25,'04_ASQ_RESPONSES'!$A:$A,0))</f>
        <v/>
      </c>
      <c r="F25">
        <f>INDEX('04_ASQ_RESPONSES'!$F:$F,MATCH($A25,'04_ASQ_RESPONSES'!$A:$A,0))</f>
        <v/>
      </c>
      <c r="G25">
        <f>INDEX('04_ASQ_RESPONSES'!$G:$G,MATCH($A25,'04_ASQ_RESPONSES'!$A:$A,0))</f>
        <v/>
      </c>
      <c r="H25">
        <f>INDEX('05_TASK_PERFORMANCE'!$D:$D,MATCH($A25,'05_TASK_PERFORMANCE'!$A:$A,0))</f>
        <v/>
      </c>
      <c r="I25">
        <f>INDEX('05_TASK_PERFORMANCE'!$E:$E,MATCH($A25,'05_TASK_PERFORMANCE'!$A:$A,0))</f>
        <v/>
      </c>
      <c r="J25">
        <f>INDEX('05_TASK_PERFORMANCE'!$F:$F,MATCH($A25,'05_TASK_PERFORMANCE'!$A:$A,0))</f>
        <v/>
      </c>
      <c r="K25">
        <f>INDEX('06_SYSTEM_METRICS'!$D:$D,MATCH($A25,'06_SYSTEM_METRICS'!$A:$A,0))</f>
        <v/>
      </c>
      <c r="L25">
        <f>INDEX('07_CITATION_EVALUATION'!$F:$F,MATCH($A25,'07_CITATION_EVALUATION'!$A:$A,0))</f>
        <v/>
      </c>
      <c r="M25">
        <f>IF(G25&lt;&gt;"",TRUE,FALSE)</f>
        <v/>
      </c>
      <c r="N25">
        <f>IF(H25&lt;&gt;"",TRUE,FALSE)</f>
        <v/>
      </c>
      <c r="O25">
        <f>COUNTIF($B$2:$B$44,B25)=2</f>
        <v/>
      </c>
    </row>
    <row r="26">
      <c r="A26">
        <f>'03_OBSERVATIONS'!A26</f>
        <v/>
      </c>
      <c r="B26">
        <f>INDEX('04_ASQ_RESPONSES'!$B:$B,MATCH($A26,'04_ASQ_RESPONSES'!$A:$A,0))</f>
        <v/>
      </c>
      <c r="C26">
        <f>INDEX('04_ASQ_RESPONSES'!$C:$C,MATCH($A26,'04_ASQ_RESPONSES'!$A:$A,0))</f>
        <v/>
      </c>
      <c r="D26">
        <f>INDEX('04_ASQ_RESPONSES'!$D:$D,MATCH($A26,'04_ASQ_RESPONSES'!$A:$A,0))</f>
        <v/>
      </c>
      <c r="E26">
        <f>INDEX('04_ASQ_RESPONSES'!$E:$E,MATCH($A26,'04_ASQ_RESPONSES'!$A:$A,0))</f>
        <v/>
      </c>
      <c r="F26">
        <f>INDEX('04_ASQ_RESPONSES'!$F:$F,MATCH($A26,'04_ASQ_RESPONSES'!$A:$A,0))</f>
        <v/>
      </c>
      <c r="G26">
        <f>INDEX('04_ASQ_RESPONSES'!$G:$G,MATCH($A26,'04_ASQ_RESPONSES'!$A:$A,0))</f>
        <v/>
      </c>
      <c r="H26">
        <f>INDEX('05_TASK_PERFORMANCE'!$D:$D,MATCH($A26,'05_TASK_PERFORMANCE'!$A:$A,0))</f>
        <v/>
      </c>
      <c r="I26">
        <f>INDEX('05_TASK_PERFORMANCE'!$E:$E,MATCH($A26,'05_TASK_PERFORMANCE'!$A:$A,0))</f>
        <v/>
      </c>
      <c r="J26">
        <f>INDEX('05_TASK_PERFORMANCE'!$F:$F,MATCH($A26,'05_TASK_PERFORMANCE'!$A:$A,0))</f>
        <v/>
      </c>
      <c r="K26">
        <f>INDEX('06_SYSTEM_METRICS'!$D:$D,MATCH($A26,'06_SYSTEM_METRICS'!$A:$A,0))</f>
        <v/>
      </c>
      <c r="L26">
        <f>INDEX('07_CITATION_EVALUATION'!$F:$F,MATCH($A26,'07_CITATION_EVALUATION'!$A:$A,0))</f>
        <v/>
      </c>
      <c r="M26">
        <f>IF(G26&lt;&gt;"",TRUE,FALSE)</f>
        <v/>
      </c>
      <c r="N26">
        <f>IF(H26&lt;&gt;"",TRUE,FALSE)</f>
        <v/>
      </c>
      <c r="O26">
        <f>COUNTIF($B$2:$B$44,B26)=2</f>
        <v/>
      </c>
    </row>
    <row r="27">
      <c r="A27">
        <f>'03_OBSERVATIONS'!A27</f>
        <v/>
      </c>
      <c r="B27">
        <f>INDEX('04_ASQ_RESPONSES'!$B:$B,MATCH($A27,'04_ASQ_RESPONSES'!$A:$A,0))</f>
        <v/>
      </c>
      <c r="C27">
        <f>INDEX('04_ASQ_RESPONSES'!$C:$C,MATCH($A27,'04_ASQ_RESPONSES'!$A:$A,0))</f>
        <v/>
      </c>
      <c r="D27">
        <f>INDEX('04_ASQ_RESPONSES'!$D:$D,MATCH($A27,'04_ASQ_RESPONSES'!$A:$A,0))</f>
        <v/>
      </c>
      <c r="E27">
        <f>INDEX('04_ASQ_RESPONSES'!$E:$E,MATCH($A27,'04_ASQ_RESPONSES'!$A:$A,0))</f>
        <v/>
      </c>
      <c r="F27">
        <f>INDEX('04_ASQ_RESPONSES'!$F:$F,MATCH($A27,'04_ASQ_RESPONSES'!$A:$A,0))</f>
        <v/>
      </c>
      <c r="G27">
        <f>INDEX('04_ASQ_RESPONSES'!$G:$G,MATCH($A27,'04_ASQ_RESPONSES'!$A:$A,0))</f>
        <v/>
      </c>
      <c r="H27">
        <f>INDEX('05_TASK_PERFORMANCE'!$D:$D,MATCH($A27,'05_TASK_PERFORMANCE'!$A:$A,0))</f>
        <v/>
      </c>
      <c r="I27">
        <f>INDEX('05_TASK_PERFORMANCE'!$E:$E,MATCH($A27,'05_TASK_PERFORMANCE'!$A:$A,0))</f>
        <v/>
      </c>
      <c r="J27">
        <f>INDEX('05_TASK_PERFORMANCE'!$F:$F,MATCH($A27,'05_TASK_PERFORMANCE'!$A:$A,0))</f>
        <v/>
      </c>
      <c r="K27">
        <f>INDEX('06_SYSTEM_METRICS'!$D:$D,MATCH($A27,'06_SYSTEM_METRICS'!$A:$A,0))</f>
        <v/>
      </c>
      <c r="L27">
        <f>INDEX('07_CITATION_EVALUATION'!$F:$F,MATCH($A27,'07_CITATION_EVALUATION'!$A:$A,0))</f>
        <v/>
      </c>
      <c r="M27">
        <f>IF(G27&lt;&gt;"",TRUE,FALSE)</f>
        <v/>
      </c>
      <c r="N27">
        <f>IF(H27&lt;&gt;"",TRUE,FALSE)</f>
        <v/>
      </c>
      <c r="O27">
        <f>COUNTIF($B$2:$B$44,B27)=2</f>
        <v/>
      </c>
    </row>
    <row r="28">
      <c r="A28">
        <f>'03_OBSERVATIONS'!A28</f>
        <v/>
      </c>
      <c r="B28">
        <f>INDEX('04_ASQ_RESPONSES'!$B:$B,MATCH($A28,'04_ASQ_RESPONSES'!$A:$A,0))</f>
        <v/>
      </c>
      <c r="C28">
        <f>INDEX('04_ASQ_RESPONSES'!$C:$C,MATCH($A28,'04_ASQ_RESPONSES'!$A:$A,0))</f>
        <v/>
      </c>
      <c r="D28">
        <f>INDEX('04_ASQ_RESPONSES'!$D:$D,MATCH($A28,'04_ASQ_RESPONSES'!$A:$A,0))</f>
        <v/>
      </c>
      <c r="E28">
        <f>INDEX('04_ASQ_RESPONSES'!$E:$E,MATCH($A28,'04_ASQ_RESPONSES'!$A:$A,0))</f>
        <v/>
      </c>
      <c r="F28">
        <f>INDEX('04_ASQ_RESPONSES'!$F:$F,MATCH($A28,'04_ASQ_RESPONSES'!$A:$A,0))</f>
        <v/>
      </c>
      <c r="G28">
        <f>INDEX('04_ASQ_RESPONSES'!$G:$G,MATCH($A28,'04_ASQ_RESPONSES'!$A:$A,0))</f>
        <v/>
      </c>
      <c r="H28">
        <f>INDEX('05_TASK_PERFORMANCE'!$D:$D,MATCH($A28,'05_TASK_PERFORMANCE'!$A:$A,0))</f>
        <v/>
      </c>
      <c r="I28">
        <f>INDEX('05_TASK_PERFORMANCE'!$E:$E,MATCH($A28,'05_TASK_PERFORMANCE'!$A:$A,0))</f>
        <v/>
      </c>
      <c r="J28">
        <f>INDEX('05_TASK_PERFORMANCE'!$F:$F,MATCH($A28,'05_TASK_PERFORMANCE'!$A:$A,0))</f>
        <v/>
      </c>
      <c r="K28">
        <f>INDEX('06_SYSTEM_METRICS'!$D:$D,MATCH($A28,'06_SYSTEM_METRICS'!$A:$A,0))</f>
        <v/>
      </c>
      <c r="L28">
        <f>INDEX('07_CITATION_EVALUATION'!$F:$F,MATCH($A28,'07_CITATION_EVALUATION'!$A:$A,0))</f>
        <v/>
      </c>
      <c r="M28">
        <f>IF(G28&lt;&gt;"",TRUE,FALSE)</f>
        <v/>
      </c>
      <c r="N28">
        <f>IF(H28&lt;&gt;"",TRUE,FALSE)</f>
        <v/>
      </c>
      <c r="O28">
        <f>COUNTIF($B$2:$B$44,B28)=2</f>
        <v/>
      </c>
    </row>
    <row r="29">
      <c r="A29">
        <f>'03_OBSERVATIONS'!A29</f>
        <v/>
      </c>
      <c r="B29">
        <f>INDEX('04_ASQ_RESPONSES'!$B:$B,MATCH($A29,'04_ASQ_RESPONSES'!$A:$A,0))</f>
        <v/>
      </c>
      <c r="C29">
        <f>INDEX('04_ASQ_RESPONSES'!$C:$C,MATCH($A29,'04_ASQ_RESPONSES'!$A:$A,0))</f>
        <v/>
      </c>
      <c r="D29">
        <f>INDEX('04_ASQ_RESPONSES'!$D:$D,MATCH($A29,'04_ASQ_RESPONSES'!$A:$A,0))</f>
        <v/>
      </c>
      <c r="E29">
        <f>INDEX('04_ASQ_RESPONSES'!$E:$E,MATCH($A29,'04_ASQ_RESPONSES'!$A:$A,0))</f>
        <v/>
      </c>
      <c r="F29">
        <f>INDEX('04_ASQ_RESPONSES'!$F:$F,MATCH($A29,'04_ASQ_RESPONSES'!$A:$A,0))</f>
        <v/>
      </c>
      <c r="G29">
        <f>INDEX('04_ASQ_RESPONSES'!$G:$G,MATCH($A29,'04_ASQ_RESPONSES'!$A:$A,0))</f>
        <v/>
      </c>
      <c r="H29">
        <f>INDEX('05_TASK_PERFORMANCE'!$D:$D,MATCH($A29,'05_TASK_PERFORMANCE'!$A:$A,0))</f>
        <v/>
      </c>
      <c r="I29">
        <f>INDEX('05_TASK_PERFORMANCE'!$E:$E,MATCH($A29,'05_TASK_PERFORMANCE'!$A:$A,0))</f>
        <v/>
      </c>
      <c r="J29">
        <f>INDEX('05_TASK_PERFORMANCE'!$F:$F,MATCH($A29,'05_TASK_PERFORMANCE'!$A:$A,0))</f>
        <v/>
      </c>
      <c r="K29">
        <f>INDEX('06_SYSTEM_METRICS'!$D:$D,MATCH($A29,'06_SYSTEM_METRICS'!$A:$A,0))</f>
        <v/>
      </c>
      <c r="L29">
        <f>INDEX('07_CITATION_EVALUATION'!$F:$F,MATCH($A29,'07_CITATION_EVALUATION'!$A:$A,0))</f>
        <v/>
      </c>
      <c r="M29">
        <f>IF(G29&lt;&gt;"",TRUE,FALSE)</f>
        <v/>
      </c>
      <c r="N29">
        <f>IF(H29&lt;&gt;"",TRUE,FALSE)</f>
        <v/>
      </c>
      <c r="O29">
        <f>COUNTIF($B$2:$B$44,B29)=2</f>
        <v/>
      </c>
    </row>
    <row r="30">
      <c r="A30">
        <f>'03_OBSERVATIONS'!A30</f>
        <v/>
      </c>
      <c r="B30">
        <f>INDEX('04_ASQ_RESPONSES'!$B:$B,MATCH($A30,'04_ASQ_RESPONSES'!$A:$A,0))</f>
        <v/>
      </c>
      <c r="C30">
        <f>INDEX('04_ASQ_RESPONSES'!$C:$C,MATCH($A30,'04_ASQ_RESPONSES'!$A:$A,0))</f>
        <v/>
      </c>
      <c r="D30">
        <f>INDEX('04_ASQ_RESPONSES'!$D:$D,MATCH($A30,'04_ASQ_RESPONSES'!$A:$A,0))</f>
        <v/>
      </c>
      <c r="E30">
        <f>INDEX('04_ASQ_RESPONSES'!$E:$E,MATCH($A30,'04_ASQ_RESPONSES'!$A:$A,0))</f>
        <v/>
      </c>
      <c r="F30">
        <f>INDEX('04_ASQ_RESPONSES'!$F:$F,MATCH($A30,'04_ASQ_RESPONSES'!$A:$A,0))</f>
        <v/>
      </c>
      <c r="G30">
        <f>INDEX('04_ASQ_RESPONSES'!$G:$G,MATCH($A30,'04_ASQ_RESPONSES'!$A:$A,0))</f>
        <v/>
      </c>
      <c r="H30">
        <f>INDEX('05_TASK_PERFORMANCE'!$D:$D,MATCH($A30,'05_TASK_PERFORMANCE'!$A:$A,0))</f>
        <v/>
      </c>
      <c r="I30">
        <f>INDEX('05_TASK_PERFORMANCE'!$E:$E,MATCH($A30,'05_TASK_PERFORMANCE'!$A:$A,0))</f>
        <v/>
      </c>
      <c r="J30">
        <f>INDEX('05_TASK_PERFORMANCE'!$F:$F,MATCH($A30,'05_TASK_PERFORMANCE'!$A:$A,0))</f>
        <v/>
      </c>
      <c r="K30">
        <f>INDEX('06_SYSTEM_METRICS'!$D:$D,MATCH($A30,'06_SYSTEM_METRICS'!$A:$A,0))</f>
        <v/>
      </c>
      <c r="L30">
        <f>INDEX('07_CITATION_EVALUATION'!$F:$F,MATCH($A30,'07_CITATION_EVALUATION'!$A:$A,0))</f>
        <v/>
      </c>
      <c r="M30">
        <f>IF(G30&lt;&gt;"",TRUE,FALSE)</f>
        <v/>
      </c>
      <c r="N30">
        <f>IF(H30&lt;&gt;"",TRUE,FALSE)</f>
        <v/>
      </c>
      <c r="O30">
        <f>COUNTIF($B$2:$B$44,B30)=2</f>
        <v/>
      </c>
    </row>
    <row r="31">
      <c r="A31">
        <f>'03_OBSERVATIONS'!A31</f>
        <v/>
      </c>
      <c r="B31">
        <f>INDEX('04_ASQ_RESPONSES'!$B:$B,MATCH($A31,'04_ASQ_RESPONSES'!$A:$A,0))</f>
        <v/>
      </c>
      <c r="C31">
        <f>INDEX('04_ASQ_RESPONSES'!$C:$C,MATCH($A31,'04_ASQ_RESPONSES'!$A:$A,0))</f>
        <v/>
      </c>
      <c r="D31">
        <f>INDEX('04_ASQ_RESPONSES'!$D:$D,MATCH($A31,'04_ASQ_RESPONSES'!$A:$A,0))</f>
        <v/>
      </c>
      <c r="E31">
        <f>INDEX('04_ASQ_RESPONSES'!$E:$E,MATCH($A31,'04_ASQ_RESPONSES'!$A:$A,0))</f>
        <v/>
      </c>
      <c r="F31">
        <f>INDEX('04_ASQ_RESPONSES'!$F:$F,MATCH($A31,'04_ASQ_RESPONSES'!$A:$A,0))</f>
        <v/>
      </c>
      <c r="G31">
        <f>INDEX('04_ASQ_RESPONSES'!$G:$G,MATCH($A31,'04_ASQ_RESPONSES'!$A:$A,0))</f>
        <v/>
      </c>
      <c r="H31">
        <f>INDEX('05_TASK_PERFORMANCE'!$D:$D,MATCH($A31,'05_TASK_PERFORMANCE'!$A:$A,0))</f>
        <v/>
      </c>
      <c r="I31">
        <f>INDEX('05_TASK_PERFORMANCE'!$E:$E,MATCH($A31,'05_TASK_PERFORMANCE'!$A:$A,0))</f>
        <v/>
      </c>
      <c r="J31">
        <f>INDEX('05_TASK_PERFORMANCE'!$F:$F,MATCH($A31,'05_TASK_PERFORMANCE'!$A:$A,0))</f>
        <v/>
      </c>
      <c r="K31">
        <f>INDEX('06_SYSTEM_METRICS'!$D:$D,MATCH($A31,'06_SYSTEM_METRICS'!$A:$A,0))</f>
        <v/>
      </c>
      <c r="L31">
        <f>INDEX('07_CITATION_EVALUATION'!$F:$F,MATCH($A31,'07_CITATION_EVALUATION'!$A:$A,0))</f>
        <v/>
      </c>
      <c r="M31">
        <f>IF(G31&lt;&gt;"",TRUE,FALSE)</f>
        <v/>
      </c>
      <c r="N31">
        <f>IF(H31&lt;&gt;"",TRUE,FALSE)</f>
        <v/>
      </c>
      <c r="O31">
        <f>COUNTIF($B$2:$B$44,B31)=2</f>
        <v/>
      </c>
    </row>
    <row r="32">
      <c r="A32">
        <f>'03_OBSERVATIONS'!A32</f>
        <v/>
      </c>
      <c r="B32">
        <f>INDEX('04_ASQ_RESPONSES'!$B:$B,MATCH($A32,'04_ASQ_RESPONSES'!$A:$A,0))</f>
        <v/>
      </c>
      <c r="C32">
        <f>INDEX('04_ASQ_RESPONSES'!$C:$C,MATCH($A32,'04_ASQ_RESPONSES'!$A:$A,0))</f>
        <v/>
      </c>
      <c r="D32">
        <f>INDEX('04_ASQ_RESPONSES'!$D:$D,MATCH($A32,'04_ASQ_RESPONSES'!$A:$A,0))</f>
        <v/>
      </c>
      <c r="E32">
        <f>INDEX('04_ASQ_RESPONSES'!$E:$E,MATCH($A32,'04_ASQ_RESPONSES'!$A:$A,0))</f>
        <v/>
      </c>
      <c r="F32">
        <f>INDEX('04_ASQ_RESPONSES'!$F:$F,MATCH($A32,'04_ASQ_RESPONSES'!$A:$A,0))</f>
        <v/>
      </c>
      <c r="G32">
        <f>INDEX('04_ASQ_RESPONSES'!$G:$G,MATCH($A32,'04_ASQ_RESPONSES'!$A:$A,0))</f>
        <v/>
      </c>
      <c r="H32">
        <f>INDEX('05_TASK_PERFORMANCE'!$D:$D,MATCH($A32,'05_TASK_PERFORMANCE'!$A:$A,0))</f>
        <v/>
      </c>
      <c r="I32">
        <f>INDEX('05_TASK_PERFORMANCE'!$E:$E,MATCH($A32,'05_TASK_PERFORMANCE'!$A:$A,0))</f>
        <v/>
      </c>
      <c r="J32">
        <f>INDEX('05_TASK_PERFORMANCE'!$F:$F,MATCH($A32,'05_TASK_PERFORMANCE'!$A:$A,0))</f>
        <v/>
      </c>
      <c r="K32">
        <f>INDEX('06_SYSTEM_METRICS'!$D:$D,MATCH($A32,'06_SYSTEM_METRICS'!$A:$A,0))</f>
        <v/>
      </c>
      <c r="L32">
        <f>INDEX('07_CITATION_EVALUATION'!$F:$F,MATCH($A32,'07_CITATION_EVALUATION'!$A:$A,0))</f>
        <v/>
      </c>
      <c r="M32">
        <f>IF(G32&lt;&gt;"",TRUE,FALSE)</f>
        <v/>
      </c>
      <c r="N32">
        <f>IF(H32&lt;&gt;"",TRUE,FALSE)</f>
        <v/>
      </c>
      <c r="O32">
        <f>COUNTIF($B$2:$B$44,B32)=2</f>
        <v/>
      </c>
    </row>
    <row r="33">
      <c r="A33">
        <f>'03_OBSERVATIONS'!A33</f>
        <v/>
      </c>
      <c r="B33">
        <f>INDEX('04_ASQ_RESPONSES'!$B:$B,MATCH($A33,'04_ASQ_RESPONSES'!$A:$A,0))</f>
        <v/>
      </c>
      <c r="C33">
        <f>INDEX('04_ASQ_RESPONSES'!$C:$C,MATCH($A33,'04_ASQ_RESPONSES'!$A:$A,0))</f>
        <v/>
      </c>
      <c r="D33">
        <f>INDEX('04_ASQ_RESPONSES'!$D:$D,MATCH($A33,'04_ASQ_RESPONSES'!$A:$A,0))</f>
        <v/>
      </c>
      <c r="E33">
        <f>INDEX('04_ASQ_RESPONSES'!$E:$E,MATCH($A33,'04_ASQ_RESPONSES'!$A:$A,0))</f>
        <v/>
      </c>
      <c r="F33">
        <f>INDEX('04_ASQ_RESPONSES'!$F:$F,MATCH($A33,'04_ASQ_RESPONSES'!$A:$A,0))</f>
        <v/>
      </c>
      <c r="G33">
        <f>INDEX('04_ASQ_RESPONSES'!$G:$G,MATCH($A33,'04_ASQ_RESPONSES'!$A:$A,0))</f>
        <v/>
      </c>
      <c r="H33">
        <f>INDEX('05_TASK_PERFORMANCE'!$D:$D,MATCH($A33,'05_TASK_PERFORMANCE'!$A:$A,0))</f>
        <v/>
      </c>
      <c r="I33">
        <f>INDEX('05_TASK_PERFORMANCE'!$E:$E,MATCH($A33,'05_TASK_PERFORMANCE'!$A:$A,0))</f>
        <v/>
      </c>
      <c r="J33">
        <f>INDEX('05_TASK_PERFORMANCE'!$F:$F,MATCH($A33,'05_TASK_PERFORMANCE'!$A:$A,0))</f>
        <v/>
      </c>
      <c r="K33">
        <f>INDEX('06_SYSTEM_METRICS'!$D:$D,MATCH($A33,'06_SYSTEM_METRICS'!$A:$A,0))</f>
        <v/>
      </c>
      <c r="L33">
        <f>INDEX('07_CITATION_EVALUATION'!$F:$F,MATCH($A33,'07_CITATION_EVALUATION'!$A:$A,0))</f>
        <v/>
      </c>
      <c r="M33">
        <f>IF(G33&lt;&gt;"",TRUE,FALSE)</f>
        <v/>
      </c>
      <c r="N33">
        <f>IF(H33&lt;&gt;"",TRUE,FALSE)</f>
        <v/>
      </c>
      <c r="O33">
        <f>COUNTIF($B$2:$B$44,B33)=2</f>
        <v/>
      </c>
    </row>
    <row r="34">
      <c r="A34">
        <f>'03_OBSERVATIONS'!A34</f>
        <v/>
      </c>
      <c r="B34">
        <f>INDEX('04_ASQ_RESPONSES'!$B:$B,MATCH($A34,'04_ASQ_RESPONSES'!$A:$A,0))</f>
        <v/>
      </c>
      <c r="C34">
        <f>INDEX('04_ASQ_RESPONSES'!$C:$C,MATCH($A34,'04_ASQ_RESPONSES'!$A:$A,0))</f>
        <v/>
      </c>
      <c r="D34">
        <f>INDEX('04_ASQ_RESPONSES'!$D:$D,MATCH($A34,'04_ASQ_RESPONSES'!$A:$A,0))</f>
        <v/>
      </c>
      <c r="E34">
        <f>INDEX('04_ASQ_RESPONSES'!$E:$E,MATCH($A34,'04_ASQ_RESPONSES'!$A:$A,0))</f>
        <v/>
      </c>
      <c r="F34">
        <f>INDEX('04_ASQ_RESPONSES'!$F:$F,MATCH($A34,'04_ASQ_RESPONSES'!$A:$A,0))</f>
        <v/>
      </c>
      <c r="G34">
        <f>INDEX('04_ASQ_RESPONSES'!$G:$G,MATCH($A34,'04_ASQ_RESPONSES'!$A:$A,0))</f>
        <v/>
      </c>
      <c r="H34">
        <f>INDEX('05_TASK_PERFORMANCE'!$D:$D,MATCH($A34,'05_TASK_PERFORMANCE'!$A:$A,0))</f>
        <v/>
      </c>
      <c r="I34">
        <f>INDEX('05_TASK_PERFORMANCE'!$E:$E,MATCH($A34,'05_TASK_PERFORMANCE'!$A:$A,0))</f>
        <v/>
      </c>
      <c r="J34">
        <f>INDEX('05_TASK_PERFORMANCE'!$F:$F,MATCH($A34,'05_TASK_PERFORMANCE'!$A:$A,0))</f>
        <v/>
      </c>
      <c r="K34">
        <f>INDEX('06_SYSTEM_METRICS'!$D:$D,MATCH($A34,'06_SYSTEM_METRICS'!$A:$A,0))</f>
        <v/>
      </c>
      <c r="L34">
        <f>INDEX('07_CITATION_EVALUATION'!$F:$F,MATCH($A34,'07_CITATION_EVALUATION'!$A:$A,0))</f>
        <v/>
      </c>
      <c r="M34">
        <f>IF(G34&lt;&gt;"",TRUE,FALSE)</f>
        <v/>
      </c>
      <c r="N34">
        <f>IF(H34&lt;&gt;"",TRUE,FALSE)</f>
        <v/>
      </c>
      <c r="O34">
        <f>COUNTIF($B$2:$B$44,B34)=2</f>
        <v/>
      </c>
    </row>
    <row r="35">
      <c r="A35">
        <f>'03_OBSERVATIONS'!A35</f>
        <v/>
      </c>
      <c r="B35">
        <f>INDEX('04_ASQ_RESPONSES'!$B:$B,MATCH($A35,'04_ASQ_RESPONSES'!$A:$A,0))</f>
        <v/>
      </c>
      <c r="C35">
        <f>INDEX('04_ASQ_RESPONSES'!$C:$C,MATCH($A35,'04_ASQ_RESPONSES'!$A:$A,0))</f>
        <v/>
      </c>
      <c r="D35">
        <f>INDEX('04_ASQ_RESPONSES'!$D:$D,MATCH($A35,'04_ASQ_RESPONSES'!$A:$A,0))</f>
        <v/>
      </c>
      <c r="E35">
        <f>INDEX('04_ASQ_RESPONSES'!$E:$E,MATCH($A35,'04_ASQ_RESPONSES'!$A:$A,0))</f>
        <v/>
      </c>
      <c r="F35">
        <f>INDEX('04_ASQ_RESPONSES'!$F:$F,MATCH($A35,'04_ASQ_RESPONSES'!$A:$A,0))</f>
        <v/>
      </c>
      <c r="G35">
        <f>INDEX('04_ASQ_RESPONSES'!$G:$G,MATCH($A35,'04_ASQ_RESPONSES'!$A:$A,0))</f>
        <v/>
      </c>
      <c r="H35">
        <f>INDEX('05_TASK_PERFORMANCE'!$D:$D,MATCH($A35,'05_TASK_PERFORMANCE'!$A:$A,0))</f>
        <v/>
      </c>
      <c r="I35">
        <f>INDEX('05_TASK_PERFORMANCE'!$E:$E,MATCH($A35,'05_TASK_PERFORMANCE'!$A:$A,0))</f>
        <v/>
      </c>
      <c r="J35">
        <f>INDEX('05_TASK_PERFORMANCE'!$F:$F,MATCH($A35,'05_TASK_PERFORMANCE'!$A:$A,0))</f>
        <v/>
      </c>
      <c r="K35">
        <f>INDEX('06_SYSTEM_METRICS'!$D:$D,MATCH($A35,'06_SYSTEM_METRICS'!$A:$A,0))</f>
        <v/>
      </c>
      <c r="L35">
        <f>INDEX('07_CITATION_EVALUATION'!$F:$F,MATCH($A35,'07_CITATION_EVALUATION'!$A:$A,0))</f>
        <v/>
      </c>
      <c r="M35">
        <f>IF(G35&lt;&gt;"",TRUE,FALSE)</f>
        <v/>
      </c>
      <c r="N35">
        <f>IF(H35&lt;&gt;"",TRUE,FALSE)</f>
        <v/>
      </c>
      <c r="O35">
        <f>COUNTIF($B$2:$B$44,B35)=2</f>
        <v/>
      </c>
    </row>
    <row r="36">
      <c r="A36">
        <f>'03_OBSERVATIONS'!A36</f>
        <v/>
      </c>
      <c r="B36">
        <f>INDEX('04_ASQ_RESPONSES'!$B:$B,MATCH($A36,'04_ASQ_RESPONSES'!$A:$A,0))</f>
        <v/>
      </c>
      <c r="C36">
        <f>INDEX('04_ASQ_RESPONSES'!$C:$C,MATCH($A36,'04_ASQ_RESPONSES'!$A:$A,0))</f>
        <v/>
      </c>
      <c r="D36">
        <f>INDEX('04_ASQ_RESPONSES'!$D:$D,MATCH($A36,'04_ASQ_RESPONSES'!$A:$A,0))</f>
        <v/>
      </c>
      <c r="E36">
        <f>INDEX('04_ASQ_RESPONSES'!$E:$E,MATCH($A36,'04_ASQ_RESPONSES'!$A:$A,0))</f>
        <v/>
      </c>
      <c r="F36">
        <f>INDEX('04_ASQ_RESPONSES'!$F:$F,MATCH($A36,'04_ASQ_RESPONSES'!$A:$A,0))</f>
        <v/>
      </c>
      <c r="G36">
        <f>INDEX('04_ASQ_RESPONSES'!$G:$G,MATCH($A36,'04_ASQ_RESPONSES'!$A:$A,0))</f>
        <v/>
      </c>
      <c r="H36">
        <f>INDEX('05_TASK_PERFORMANCE'!$D:$D,MATCH($A36,'05_TASK_PERFORMANCE'!$A:$A,0))</f>
        <v/>
      </c>
      <c r="I36">
        <f>INDEX('05_TASK_PERFORMANCE'!$E:$E,MATCH($A36,'05_TASK_PERFORMANCE'!$A:$A,0))</f>
        <v/>
      </c>
      <c r="J36">
        <f>INDEX('05_TASK_PERFORMANCE'!$F:$F,MATCH($A36,'05_TASK_PERFORMANCE'!$A:$A,0))</f>
        <v/>
      </c>
      <c r="K36">
        <f>INDEX('06_SYSTEM_METRICS'!$D:$D,MATCH($A36,'06_SYSTEM_METRICS'!$A:$A,0))</f>
        <v/>
      </c>
      <c r="L36">
        <f>INDEX('07_CITATION_EVALUATION'!$F:$F,MATCH($A36,'07_CITATION_EVALUATION'!$A:$A,0))</f>
        <v/>
      </c>
      <c r="M36">
        <f>IF(G36&lt;&gt;"",TRUE,FALSE)</f>
        <v/>
      </c>
      <c r="N36">
        <f>IF(H36&lt;&gt;"",TRUE,FALSE)</f>
        <v/>
      </c>
      <c r="O36">
        <f>COUNTIF($B$2:$B$44,B36)=2</f>
        <v/>
      </c>
    </row>
    <row r="37">
      <c r="A37">
        <f>'03_OBSERVATIONS'!A37</f>
        <v/>
      </c>
      <c r="B37">
        <f>INDEX('04_ASQ_RESPONSES'!$B:$B,MATCH($A37,'04_ASQ_RESPONSES'!$A:$A,0))</f>
        <v/>
      </c>
      <c r="C37">
        <f>INDEX('04_ASQ_RESPONSES'!$C:$C,MATCH($A37,'04_ASQ_RESPONSES'!$A:$A,0))</f>
        <v/>
      </c>
      <c r="D37">
        <f>INDEX('04_ASQ_RESPONSES'!$D:$D,MATCH($A37,'04_ASQ_RESPONSES'!$A:$A,0))</f>
        <v/>
      </c>
      <c r="E37">
        <f>INDEX('04_ASQ_RESPONSES'!$E:$E,MATCH($A37,'04_ASQ_RESPONSES'!$A:$A,0))</f>
        <v/>
      </c>
      <c r="F37">
        <f>INDEX('04_ASQ_RESPONSES'!$F:$F,MATCH($A37,'04_ASQ_RESPONSES'!$A:$A,0))</f>
        <v/>
      </c>
      <c r="G37">
        <f>INDEX('04_ASQ_RESPONSES'!$G:$G,MATCH($A37,'04_ASQ_RESPONSES'!$A:$A,0))</f>
        <v/>
      </c>
      <c r="H37">
        <f>INDEX('05_TASK_PERFORMANCE'!$D:$D,MATCH($A37,'05_TASK_PERFORMANCE'!$A:$A,0))</f>
        <v/>
      </c>
      <c r="I37">
        <f>INDEX('05_TASK_PERFORMANCE'!$E:$E,MATCH($A37,'05_TASK_PERFORMANCE'!$A:$A,0))</f>
        <v/>
      </c>
      <c r="J37">
        <f>INDEX('05_TASK_PERFORMANCE'!$F:$F,MATCH($A37,'05_TASK_PERFORMANCE'!$A:$A,0))</f>
        <v/>
      </c>
      <c r="K37">
        <f>INDEX('06_SYSTEM_METRICS'!$D:$D,MATCH($A37,'06_SYSTEM_METRICS'!$A:$A,0))</f>
        <v/>
      </c>
      <c r="L37">
        <f>INDEX('07_CITATION_EVALUATION'!$F:$F,MATCH($A37,'07_CITATION_EVALUATION'!$A:$A,0))</f>
        <v/>
      </c>
      <c r="M37">
        <f>IF(G37&lt;&gt;"",TRUE,FALSE)</f>
        <v/>
      </c>
      <c r="N37">
        <f>IF(H37&lt;&gt;"",TRUE,FALSE)</f>
        <v/>
      </c>
      <c r="O37">
        <f>COUNTIF($B$2:$B$44,B37)=2</f>
        <v/>
      </c>
    </row>
    <row r="38">
      <c r="A38">
        <f>'03_OBSERVATIONS'!A38</f>
        <v/>
      </c>
      <c r="B38">
        <f>INDEX('04_ASQ_RESPONSES'!$B:$B,MATCH($A38,'04_ASQ_RESPONSES'!$A:$A,0))</f>
        <v/>
      </c>
      <c r="C38">
        <f>INDEX('04_ASQ_RESPONSES'!$C:$C,MATCH($A38,'04_ASQ_RESPONSES'!$A:$A,0))</f>
        <v/>
      </c>
      <c r="D38">
        <f>INDEX('04_ASQ_RESPONSES'!$D:$D,MATCH($A38,'04_ASQ_RESPONSES'!$A:$A,0))</f>
        <v/>
      </c>
      <c r="E38">
        <f>INDEX('04_ASQ_RESPONSES'!$E:$E,MATCH($A38,'04_ASQ_RESPONSES'!$A:$A,0))</f>
        <v/>
      </c>
      <c r="F38">
        <f>INDEX('04_ASQ_RESPONSES'!$F:$F,MATCH($A38,'04_ASQ_RESPONSES'!$A:$A,0))</f>
        <v/>
      </c>
      <c r="G38">
        <f>INDEX('04_ASQ_RESPONSES'!$G:$G,MATCH($A38,'04_ASQ_RESPONSES'!$A:$A,0))</f>
        <v/>
      </c>
      <c r="H38">
        <f>INDEX('05_TASK_PERFORMANCE'!$D:$D,MATCH($A38,'05_TASK_PERFORMANCE'!$A:$A,0))</f>
        <v/>
      </c>
      <c r="I38">
        <f>INDEX('05_TASK_PERFORMANCE'!$E:$E,MATCH($A38,'05_TASK_PERFORMANCE'!$A:$A,0))</f>
        <v/>
      </c>
      <c r="J38">
        <f>INDEX('05_TASK_PERFORMANCE'!$F:$F,MATCH($A38,'05_TASK_PERFORMANCE'!$A:$A,0))</f>
        <v/>
      </c>
      <c r="K38">
        <f>INDEX('06_SYSTEM_METRICS'!$D:$D,MATCH($A38,'06_SYSTEM_METRICS'!$A:$A,0))</f>
        <v/>
      </c>
      <c r="L38">
        <f>INDEX('07_CITATION_EVALUATION'!$F:$F,MATCH($A38,'07_CITATION_EVALUATION'!$A:$A,0))</f>
        <v/>
      </c>
      <c r="M38">
        <f>IF(G38&lt;&gt;"",TRUE,FALSE)</f>
        <v/>
      </c>
      <c r="N38">
        <f>IF(H38&lt;&gt;"",TRUE,FALSE)</f>
        <v/>
      </c>
      <c r="O38">
        <f>COUNTIF($B$2:$B$44,B38)=2</f>
        <v/>
      </c>
    </row>
    <row r="39">
      <c r="A39">
        <f>'03_OBSERVATIONS'!A39</f>
        <v/>
      </c>
      <c r="B39">
        <f>INDEX('04_ASQ_RESPONSES'!$B:$B,MATCH($A39,'04_ASQ_RESPONSES'!$A:$A,0))</f>
        <v/>
      </c>
      <c r="C39">
        <f>INDEX('04_ASQ_RESPONSES'!$C:$C,MATCH($A39,'04_ASQ_RESPONSES'!$A:$A,0))</f>
        <v/>
      </c>
      <c r="D39">
        <f>INDEX('04_ASQ_RESPONSES'!$D:$D,MATCH($A39,'04_ASQ_RESPONSES'!$A:$A,0))</f>
        <v/>
      </c>
      <c r="E39">
        <f>INDEX('04_ASQ_RESPONSES'!$E:$E,MATCH($A39,'04_ASQ_RESPONSES'!$A:$A,0))</f>
        <v/>
      </c>
      <c r="F39">
        <f>INDEX('04_ASQ_RESPONSES'!$F:$F,MATCH($A39,'04_ASQ_RESPONSES'!$A:$A,0))</f>
        <v/>
      </c>
      <c r="G39">
        <f>INDEX('04_ASQ_RESPONSES'!$G:$G,MATCH($A39,'04_ASQ_RESPONSES'!$A:$A,0))</f>
        <v/>
      </c>
      <c r="H39">
        <f>INDEX('05_TASK_PERFORMANCE'!$D:$D,MATCH($A39,'05_TASK_PERFORMANCE'!$A:$A,0))</f>
        <v/>
      </c>
      <c r="I39">
        <f>INDEX('05_TASK_PERFORMANCE'!$E:$E,MATCH($A39,'05_TASK_PERFORMANCE'!$A:$A,0))</f>
        <v/>
      </c>
      <c r="J39">
        <f>INDEX('05_TASK_PERFORMANCE'!$F:$F,MATCH($A39,'05_TASK_PERFORMANCE'!$A:$A,0))</f>
        <v/>
      </c>
      <c r="K39">
        <f>INDEX('06_SYSTEM_METRICS'!$D:$D,MATCH($A39,'06_SYSTEM_METRICS'!$A:$A,0))</f>
        <v/>
      </c>
      <c r="L39">
        <f>INDEX('07_CITATION_EVALUATION'!$F:$F,MATCH($A39,'07_CITATION_EVALUATION'!$A:$A,0))</f>
        <v/>
      </c>
      <c r="M39">
        <f>IF(G39&lt;&gt;"",TRUE,FALSE)</f>
        <v/>
      </c>
      <c r="N39">
        <f>IF(H39&lt;&gt;"",TRUE,FALSE)</f>
        <v/>
      </c>
      <c r="O39">
        <f>COUNTIF($B$2:$B$44,B39)=2</f>
        <v/>
      </c>
    </row>
    <row r="40">
      <c r="A40">
        <f>'03_OBSERVATIONS'!A40</f>
        <v/>
      </c>
      <c r="B40">
        <f>INDEX('04_ASQ_RESPONSES'!$B:$B,MATCH($A40,'04_ASQ_RESPONSES'!$A:$A,0))</f>
        <v/>
      </c>
      <c r="C40">
        <f>INDEX('04_ASQ_RESPONSES'!$C:$C,MATCH($A40,'04_ASQ_RESPONSES'!$A:$A,0))</f>
        <v/>
      </c>
      <c r="D40">
        <f>INDEX('04_ASQ_RESPONSES'!$D:$D,MATCH($A40,'04_ASQ_RESPONSES'!$A:$A,0))</f>
        <v/>
      </c>
      <c r="E40">
        <f>INDEX('04_ASQ_RESPONSES'!$E:$E,MATCH($A40,'04_ASQ_RESPONSES'!$A:$A,0))</f>
        <v/>
      </c>
      <c r="F40">
        <f>INDEX('04_ASQ_RESPONSES'!$F:$F,MATCH($A40,'04_ASQ_RESPONSES'!$A:$A,0))</f>
        <v/>
      </c>
      <c r="G40">
        <f>INDEX('04_ASQ_RESPONSES'!$G:$G,MATCH($A40,'04_ASQ_RESPONSES'!$A:$A,0))</f>
        <v/>
      </c>
      <c r="H40">
        <f>INDEX('05_TASK_PERFORMANCE'!$D:$D,MATCH($A40,'05_TASK_PERFORMANCE'!$A:$A,0))</f>
        <v/>
      </c>
      <c r="I40">
        <f>INDEX('05_TASK_PERFORMANCE'!$E:$E,MATCH($A40,'05_TASK_PERFORMANCE'!$A:$A,0))</f>
        <v/>
      </c>
      <c r="J40">
        <f>INDEX('05_TASK_PERFORMANCE'!$F:$F,MATCH($A40,'05_TASK_PERFORMANCE'!$A:$A,0))</f>
        <v/>
      </c>
      <c r="K40">
        <f>INDEX('06_SYSTEM_METRICS'!$D:$D,MATCH($A40,'06_SYSTEM_METRICS'!$A:$A,0))</f>
        <v/>
      </c>
      <c r="L40">
        <f>INDEX('07_CITATION_EVALUATION'!$F:$F,MATCH($A40,'07_CITATION_EVALUATION'!$A:$A,0))</f>
        <v/>
      </c>
      <c r="M40">
        <f>IF(G40&lt;&gt;"",TRUE,FALSE)</f>
        <v/>
      </c>
      <c r="N40">
        <f>IF(H40&lt;&gt;"",TRUE,FALSE)</f>
        <v/>
      </c>
      <c r="O40">
        <f>COUNTIF($B$2:$B$44,B40)=2</f>
        <v/>
      </c>
    </row>
    <row r="41">
      <c r="A41">
        <f>'03_OBSERVATIONS'!A41</f>
        <v/>
      </c>
      <c r="B41">
        <f>INDEX('04_ASQ_RESPONSES'!$B:$B,MATCH($A41,'04_ASQ_RESPONSES'!$A:$A,0))</f>
        <v/>
      </c>
      <c r="C41">
        <f>INDEX('04_ASQ_RESPONSES'!$C:$C,MATCH($A41,'04_ASQ_RESPONSES'!$A:$A,0))</f>
        <v/>
      </c>
      <c r="D41">
        <f>INDEX('04_ASQ_RESPONSES'!$D:$D,MATCH($A41,'04_ASQ_RESPONSES'!$A:$A,0))</f>
        <v/>
      </c>
      <c r="E41">
        <f>INDEX('04_ASQ_RESPONSES'!$E:$E,MATCH($A41,'04_ASQ_RESPONSES'!$A:$A,0))</f>
        <v/>
      </c>
      <c r="F41">
        <f>INDEX('04_ASQ_RESPONSES'!$F:$F,MATCH($A41,'04_ASQ_RESPONSES'!$A:$A,0))</f>
        <v/>
      </c>
      <c r="G41">
        <f>INDEX('04_ASQ_RESPONSES'!$G:$G,MATCH($A41,'04_ASQ_RESPONSES'!$A:$A,0))</f>
        <v/>
      </c>
      <c r="H41">
        <f>INDEX('05_TASK_PERFORMANCE'!$D:$D,MATCH($A41,'05_TASK_PERFORMANCE'!$A:$A,0))</f>
        <v/>
      </c>
      <c r="I41">
        <f>INDEX('05_TASK_PERFORMANCE'!$E:$E,MATCH($A41,'05_TASK_PERFORMANCE'!$A:$A,0))</f>
        <v/>
      </c>
      <c r="J41">
        <f>INDEX('05_TASK_PERFORMANCE'!$F:$F,MATCH($A41,'05_TASK_PERFORMANCE'!$A:$A,0))</f>
        <v/>
      </c>
      <c r="K41">
        <f>INDEX('06_SYSTEM_METRICS'!$D:$D,MATCH($A41,'06_SYSTEM_METRICS'!$A:$A,0))</f>
        <v/>
      </c>
      <c r="L41">
        <f>INDEX('07_CITATION_EVALUATION'!$F:$F,MATCH($A41,'07_CITATION_EVALUATION'!$A:$A,0))</f>
        <v/>
      </c>
      <c r="M41">
        <f>IF(G41&lt;&gt;"",TRUE,FALSE)</f>
        <v/>
      </c>
      <c r="N41">
        <f>IF(H41&lt;&gt;"",TRUE,FALSE)</f>
        <v/>
      </c>
      <c r="O41">
        <f>COUNTIF($B$2:$B$44,B41)=2</f>
        <v/>
      </c>
    </row>
    <row r="42">
      <c r="A42">
        <f>'03_OBSERVATIONS'!A42</f>
        <v/>
      </c>
      <c r="B42">
        <f>INDEX('04_ASQ_RESPONSES'!$B:$B,MATCH($A42,'04_ASQ_RESPONSES'!$A:$A,0))</f>
        <v/>
      </c>
      <c r="C42">
        <f>INDEX('04_ASQ_RESPONSES'!$C:$C,MATCH($A42,'04_ASQ_RESPONSES'!$A:$A,0))</f>
        <v/>
      </c>
      <c r="D42">
        <f>INDEX('04_ASQ_RESPONSES'!$D:$D,MATCH($A42,'04_ASQ_RESPONSES'!$A:$A,0))</f>
        <v/>
      </c>
      <c r="E42">
        <f>INDEX('04_ASQ_RESPONSES'!$E:$E,MATCH($A42,'04_ASQ_RESPONSES'!$A:$A,0))</f>
        <v/>
      </c>
      <c r="F42">
        <f>INDEX('04_ASQ_RESPONSES'!$F:$F,MATCH($A42,'04_ASQ_RESPONSES'!$A:$A,0))</f>
        <v/>
      </c>
      <c r="G42">
        <f>INDEX('04_ASQ_RESPONSES'!$G:$G,MATCH($A42,'04_ASQ_RESPONSES'!$A:$A,0))</f>
        <v/>
      </c>
      <c r="H42">
        <f>INDEX('05_TASK_PERFORMANCE'!$D:$D,MATCH($A42,'05_TASK_PERFORMANCE'!$A:$A,0))</f>
        <v/>
      </c>
      <c r="I42">
        <f>INDEX('05_TASK_PERFORMANCE'!$E:$E,MATCH($A42,'05_TASK_PERFORMANCE'!$A:$A,0))</f>
        <v/>
      </c>
      <c r="J42">
        <f>INDEX('05_TASK_PERFORMANCE'!$F:$F,MATCH($A42,'05_TASK_PERFORMANCE'!$A:$A,0))</f>
        <v/>
      </c>
      <c r="K42">
        <f>INDEX('06_SYSTEM_METRICS'!$D:$D,MATCH($A42,'06_SYSTEM_METRICS'!$A:$A,0))</f>
        <v/>
      </c>
      <c r="L42">
        <f>INDEX('07_CITATION_EVALUATION'!$F:$F,MATCH($A42,'07_CITATION_EVALUATION'!$A:$A,0))</f>
        <v/>
      </c>
      <c r="M42">
        <f>IF(G42&lt;&gt;"",TRUE,FALSE)</f>
        <v/>
      </c>
      <c r="N42">
        <f>IF(H42&lt;&gt;"",TRUE,FALSE)</f>
        <v/>
      </c>
      <c r="O42">
        <f>COUNTIF($B$2:$B$44,B42)=2</f>
        <v/>
      </c>
    </row>
    <row r="43">
      <c r="A43">
        <f>'03_OBSERVATIONS'!A43</f>
        <v/>
      </c>
      <c r="B43">
        <f>INDEX('04_ASQ_RESPONSES'!$B:$B,MATCH($A43,'04_ASQ_RESPONSES'!$A:$A,0))</f>
        <v/>
      </c>
      <c r="C43">
        <f>INDEX('04_ASQ_RESPONSES'!$C:$C,MATCH($A43,'04_ASQ_RESPONSES'!$A:$A,0))</f>
        <v/>
      </c>
      <c r="D43">
        <f>INDEX('04_ASQ_RESPONSES'!$D:$D,MATCH($A43,'04_ASQ_RESPONSES'!$A:$A,0))</f>
        <v/>
      </c>
      <c r="E43">
        <f>INDEX('04_ASQ_RESPONSES'!$E:$E,MATCH($A43,'04_ASQ_RESPONSES'!$A:$A,0))</f>
        <v/>
      </c>
      <c r="F43">
        <f>INDEX('04_ASQ_RESPONSES'!$F:$F,MATCH($A43,'04_ASQ_RESPONSES'!$A:$A,0))</f>
        <v/>
      </c>
      <c r="G43">
        <f>INDEX('04_ASQ_RESPONSES'!$G:$G,MATCH($A43,'04_ASQ_RESPONSES'!$A:$A,0))</f>
        <v/>
      </c>
      <c r="H43">
        <f>INDEX('05_TASK_PERFORMANCE'!$D:$D,MATCH($A43,'05_TASK_PERFORMANCE'!$A:$A,0))</f>
        <v/>
      </c>
      <c r="I43">
        <f>INDEX('05_TASK_PERFORMANCE'!$E:$E,MATCH($A43,'05_TASK_PERFORMANCE'!$A:$A,0))</f>
        <v/>
      </c>
      <c r="J43">
        <f>INDEX('05_TASK_PERFORMANCE'!$F:$F,MATCH($A43,'05_TASK_PERFORMANCE'!$A:$A,0))</f>
        <v/>
      </c>
      <c r="K43">
        <f>INDEX('06_SYSTEM_METRICS'!$D:$D,MATCH($A43,'06_SYSTEM_METRICS'!$A:$A,0))</f>
        <v/>
      </c>
      <c r="L43">
        <f>INDEX('07_CITATION_EVALUATION'!$F:$F,MATCH($A43,'07_CITATION_EVALUATION'!$A:$A,0))</f>
        <v/>
      </c>
      <c r="M43">
        <f>IF(G43&lt;&gt;"",TRUE,FALSE)</f>
        <v/>
      </c>
      <c r="N43">
        <f>IF(H43&lt;&gt;"",TRUE,FALSE)</f>
        <v/>
      </c>
      <c r="O43">
        <f>COUNTIF($B$2:$B$44,B43)=2</f>
        <v/>
      </c>
    </row>
    <row r="44">
      <c r="A44">
        <f>'03_OBSERVATIONS'!A44</f>
        <v/>
      </c>
      <c r="B44">
        <f>INDEX('04_ASQ_RESPONSES'!$B:$B,MATCH($A44,'04_ASQ_RESPONSES'!$A:$A,0))</f>
        <v/>
      </c>
      <c r="C44">
        <f>INDEX('04_ASQ_RESPONSES'!$C:$C,MATCH($A44,'04_ASQ_RESPONSES'!$A:$A,0))</f>
        <v/>
      </c>
      <c r="D44">
        <f>INDEX('04_ASQ_RESPONSES'!$D:$D,MATCH($A44,'04_ASQ_RESPONSES'!$A:$A,0))</f>
        <v/>
      </c>
      <c r="E44">
        <f>INDEX('04_ASQ_RESPONSES'!$E:$E,MATCH($A44,'04_ASQ_RESPONSES'!$A:$A,0))</f>
        <v/>
      </c>
      <c r="F44">
        <f>INDEX('04_ASQ_RESPONSES'!$F:$F,MATCH($A44,'04_ASQ_RESPONSES'!$A:$A,0))</f>
        <v/>
      </c>
      <c r="G44">
        <f>INDEX('04_ASQ_RESPONSES'!$G:$G,MATCH($A44,'04_ASQ_RESPONSES'!$A:$A,0))</f>
        <v/>
      </c>
      <c r="H44">
        <f>INDEX('05_TASK_PERFORMANCE'!$D:$D,MATCH($A44,'05_TASK_PERFORMANCE'!$A:$A,0))</f>
        <v/>
      </c>
      <c r="I44">
        <f>INDEX('05_TASK_PERFORMANCE'!$E:$E,MATCH($A44,'05_TASK_PERFORMANCE'!$A:$A,0))</f>
        <v/>
      </c>
      <c r="J44">
        <f>INDEX('05_TASK_PERFORMANCE'!$F:$F,MATCH($A44,'05_TASK_PERFORMANCE'!$A:$A,0))</f>
        <v/>
      </c>
      <c r="K44">
        <f>INDEX('06_SYSTEM_METRICS'!$D:$D,MATCH($A44,'06_SYSTEM_METRICS'!$A:$A,0))</f>
        <v/>
      </c>
      <c r="L44">
        <f>INDEX('07_CITATION_EVALUATION'!$F:$F,MATCH($A44,'07_CITATION_EVALUATION'!$A:$A,0))</f>
        <v/>
      </c>
      <c r="M44">
        <f>IF(G44&lt;&gt;"",TRUE,FALSE)</f>
        <v/>
      </c>
      <c r="N44">
        <f>IF(H44&lt;&gt;"",TRUE,FALSE)</f>
        <v/>
      </c>
      <c r="O44">
        <f>COUNTIF($B$2:$B$44,B44)=2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7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28" customWidth="1" min="22" max="22"/>
    <col width="28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</cols>
  <sheetData>
    <row r="1">
      <c r="A1" s="5" t="inlineStr">
        <is>
          <t>A. Descriptive Statistics -- ASQ mean score</t>
        </is>
      </c>
      <c r="N1" s="6" t="inlineStr">
        <is>
          <t>helper: asq_mean_s1</t>
        </is>
      </c>
      <c r="O1" s="6" t="inlineStr">
        <is>
          <t>helper: asq_mean_s2</t>
        </is>
      </c>
      <c r="P1" s="6" t="inlineStr">
        <is>
          <t>helper: q1_s1</t>
        </is>
      </c>
      <c r="Q1" s="6" t="inlineStr">
        <is>
          <t>helper: q2_s1</t>
        </is>
      </c>
      <c r="R1" s="6" t="inlineStr">
        <is>
          <t>helper: q3_s1</t>
        </is>
      </c>
      <c r="S1" s="6" t="inlineStr">
        <is>
          <t>helper: q1_s2</t>
        </is>
      </c>
      <c r="T1" s="6" t="inlineStr">
        <is>
          <t>helper: q2_s2</t>
        </is>
      </c>
      <c r="U1" s="6" t="inlineStr">
        <is>
          <t>helper: q3_s2</t>
        </is>
      </c>
      <c r="V1" s="6" t="inlineStr">
        <is>
          <t>helper: total_s1</t>
        </is>
      </c>
      <c r="W1" s="6" t="inlineStr">
        <is>
          <t>helper: total_s2</t>
        </is>
      </c>
      <c r="X1" s="6" t="inlineStr">
        <is>
          <t>helper: completion_s1_clean</t>
        </is>
      </c>
      <c r="Y1" s="6" t="inlineStr">
        <is>
          <t>helper: completion_s2_clean</t>
        </is>
      </c>
      <c r="Z1" s="6" t="inlineStr">
        <is>
          <t>helper: latency_s1</t>
        </is>
      </c>
      <c r="AA1" s="6" t="inlineStr">
        <is>
          <t>helper: latency_s2</t>
        </is>
      </c>
      <c r="AB1" s="6" t="inlineStr">
        <is>
          <t>helper: asq_mean_success1</t>
        </is>
      </c>
      <c r="AC1" s="6" t="inlineStr">
        <is>
          <t>helper: asq_mean_success0</t>
        </is>
      </c>
      <c r="AD1" s="6" t="inlineStr">
        <is>
          <t>helper: asq3_for_citation</t>
        </is>
      </c>
      <c r="AE1" s="6" t="inlineStr">
        <is>
          <t>helper: citation_as_number</t>
        </is>
      </c>
    </row>
    <row r="2">
      <c r="N2">
        <f>IF('08_MERGED_ANALYSIS'!C2="S1",'08_MERGED_ANALYSIS'!G2,"")</f>
        <v/>
      </c>
      <c r="O2">
        <f>IF('08_MERGED_ANALYSIS'!C2="S2",'08_MERGED_ANALYSIS'!G2,"")</f>
        <v/>
      </c>
      <c r="P2">
        <f>IF('08_MERGED_ANALYSIS'!C2="S1",'08_MERGED_ANALYSIS'!D2,"")</f>
        <v/>
      </c>
      <c r="Q2">
        <f>IF('08_MERGED_ANALYSIS'!C2="S1",'08_MERGED_ANALYSIS'!E2,"")</f>
        <v/>
      </c>
      <c r="R2">
        <f>IF('08_MERGED_ANALYSIS'!C2="S1",'08_MERGED_ANALYSIS'!F2,"")</f>
        <v/>
      </c>
      <c r="S2">
        <f>IF('08_MERGED_ANALYSIS'!C2="S2",'08_MERGED_ANALYSIS'!D2,"")</f>
        <v/>
      </c>
      <c r="T2">
        <f>IF('08_MERGED_ANALYSIS'!C2="S2",'08_MERGED_ANALYSIS'!E2,"")</f>
        <v/>
      </c>
      <c r="U2">
        <f>IF('08_MERGED_ANALYSIS'!C2="S2",'08_MERGED_ANALYSIS'!F2,"")</f>
        <v/>
      </c>
      <c r="V2">
        <f>IF(P2="","",P2+Q2+R2)</f>
        <v/>
      </c>
      <c r="W2">
        <f>IF(S2="","",S2+T2+U2)</f>
        <v/>
      </c>
      <c r="X2">
        <f>IF(AND('08_MERGED_ANALYSIS'!C2="S1",'08_MERGED_ANALYSIS'!J2&lt;&gt;"",'08_MERGED_ANALYSIS'!J2&gt;=0,'08_MERGED_ANALYSIS'!J2&lt;=3600),'08_MERGED_ANALYSIS'!J2,"")</f>
        <v/>
      </c>
      <c r="Y2">
        <f>IF(AND('08_MERGED_ANALYSIS'!C2="S2",'08_MERGED_ANALYSIS'!J2&lt;&gt;"",'08_MERGED_ANALYSIS'!J2&gt;=0,'08_MERGED_ANALYSIS'!J2&lt;=3600),'08_MERGED_ANALYSIS'!J2,"")</f>
        <v/>
      </c>
      <c r="Z2">
        <f>IF('08_MERGED_ANALYSIS'!C2="S1",'08_MERGED_ANALYSIS'!K2,"")</f>
        <v/>
      </c>
      <c r="AA2">
        <f>IF('08_MERGED_ANALYSIS'!C2="S2",'08_MERGED_ANALYSIS'!K2,"")</f>
        <v/>
      </c>
      <c r="AB2">
        <f>IF('08_MERGED_ANALYSIS'!H2=1,'08_MERGED_ANALYSIS'!G2,"")</f>
        <v/>
      </c>
      <c r="AC2">
        <f>IF('08_MERGED_ANALYSIS'!H2=0,'08_MERGED_ANALYSIS'!G2,"")</f>
        <v/>
      </c>
      <c r="AD2">
        <f>IF('08_MERGED_ANALYSIS'!L2&lt;&gt;"",'08_MERGED_ANALYSIS'!F2,"")</f>
        <v/>
      </c>
      <c r="AE2">
        <f>IF('08_MERGED_ANALYSIS'!L2&lt;&gt;"",IF('08_MERGED_ANALYSIS'!L2,1,0),"")</f>
        <v/>
      </c>
    </row>
    <row r="3">
      <c r="A3" s="4" t="inlineStr">
        <is>
          <t>Statistic</t>
        </is>
      </c>
      <c r="B3" s="4" t="inlineStr">
        <is>
          <t>Overall</t>
        </is>
      </c>
      <c r="C3" s="4" t="inlineStr">
        <is>
          <t>S1</t>
        </is>
      </c>
      <c r="D3" s="4" t="inlineStr">
        <is>
          <t>S2</t>
        </is>
      </c>
      <c r="N3">
        <f>IF('08_MERGED_ANALYSIS'!C3="S1",'08_MERGED_ANALYSIS'!G3,"")</f>
        <v/>
      </c>
      <c r="O3">
        <f>IF('08_MERGED_ANALYSIS'!C3="S2",'08_MERGED_ANALYSIS'!G3,"")</f>
        <v/>
      </c>
      <c r="P3">
        <f>IF('08_MERGED_ANALYSIS'!C3="S1",'08_MERGED_ANALYSIS'!D3,"")</f>
        <v/>
      </c>
      <c r="Q3">
        <f>IF('08_MERGED_ANALYSIS'!C3="S1",'08_MERGED_ANALYSIS'!E3,"")</f>
        <v/>
      </c>
      <c r="R3">
        <f>IF('08_MERGED_ANALYSIS'!C3="S1",'08_MERGED_ANALYSIS'!F3,"")</f>
        <v/>
      </c>
      <c r="S3">
        <f>IF('08_MERGED_ANALYSIS'!C3="S2",'08_MERGED_ANALYSIS'!D3,"")</f>
        <v/>
      </c>
      <c r="T3">
        <f>IF('08_MERGED_ANALYSIS'!C3="S2",'08_MERGED_ANALYSIS'!E3,"")</f>
        <v/>
      </c>
      <c r="U3">
        <f>IF('08_MERGED_ANALYSIS'!C3="S2",'08_MERGED_ANALYSIS'!F3,"")</f>
        <v/>
      </c>
      <c r="V3">
        <f>IF(P3="","",P3+Q3+R3)</f>
        <v/>
      </c>
      <c r="W3">
        <f>IF(S3="","",S3+T3+U3)</f>
        <v/>
      </c>
      <c r="X3">
        <f>IF(AND('08_MERGED_ANALYSIS'!C3="S1",'08_MERGED_ANALYSIS'!J3&lt;&gt;"",'08_MERGED_ANALYSIS'!J3&gt;=0,'08_MERGED_ANALYSIS'!J3&lt;=3600),'08_MERGED_ANALYSIS'!J3,"")</f>
        <v/>
      </c>
      <c r="Y3">
        <f>IF(AND('08_MERGED_ANALYSIS'!C3="S2",'08_MERGED_ANALYSIS'!J3&lt;&gt;"",'08_MERGED_ANALYSIS'!J3&gt;=0,'08_MERGED_ANALYSIS'!J3&lt;=3600),'08_MERGED_ANALYSIS'!J3,"")</f>
        <v/>
      </c>
      <c r="Z3">
        <f>IF('08_MERGED_ANALYSIS'!C3="S1",'08_MERGED_ANALYSIS'!K3,"")</f>
        <v/>
      </c>
      <c r="AA3">
        <f>IF('08_MERGED_ANALYSIS'!C3="S2",'08_MERGED_ANALYSIS'!K3,"")</f>
        <v/>
      </c>
      <c r="AB3">
        <f>IF('08_MERGED_ANALYSIS'!H3=1,'08_MERGED_ANALYSIS'!G3,"")</f>
        <v/>
      </c>
      <c r="AC3">
        <f>IF('08_MERGED_ANALYSIS'!H3=0,'08_MERGED_ANALYSIS'!G3,"")</f>
        <v/>
      </c>
      <c r="AD3">
        <f>IF('08_MERGED_ANALYSIS'!L3&lt;&gt;"",'08_MERGED_ANALYSIS'!F3,"")</f>
        <v/>
      </c>
      <c r="AE3">
        <f>IF('08_MERGED_ANALYSIS'!L3&lt;&gt;"",IF('08_MERGED_ANALYSIS'!L3,1,0),"")</f>
        <v/>
      </c>
    </row>
    <row r="4">
      <c r="A4" t="inlineStr">
        <is>
          <t>n</t>
        </is>
      </c>
      <c r="B4">
        <f>COUNT('08_MERGED_ANALYSIS'!$G$2:$G$44)</f>
        <v/>
      </c>
      <c r="C4">
        <f>COUNTIFS('08_MERGED_ANALYSIS'!$C$2:$C$44,"S1",'08_MERGED_ANALYSIS'!$G$2:$G$44,"&lt;&gt;")</f>
        <v/>
      </c>
      <c r="D4">
        <f>COUNTIFS('08_MERGED_ANALYSIS'!$C$2:$C$44,"S2",'08_MERGED_ANALYSIS'!$G$2:$G$44,"&lt;&gt;")</f>
        <v/>
      </c>
      <c r="N4">
        <f>IF('08_MERGED_ANALYSIS'!C4="S1",'08_MERGED_ANALYSIS'!G4,"")</f>
        <v/>
      </c>
      <c r="O4">
        <f>IF('08_MERGED_ANALYSIS'!C4="S2",'08_MERGED_ANALYSIS'!G4,"")</f>
        <v/>
      </c>
      <c r="P4">
        <f>IF('08_MERGED_ANALYSIS'!C4="S1",'08_MERGED_ANALYSIS'!D4,"")</f>
        <v/>
      </c>
      <c r="Q4">
        <f>IF('08_MERGED_ANALYSIS'!C4="S1",'08_MERGED_ANALYSIS'!E4,"")</f>
        <v/>
      </c>
      <c r="R4">
        <f>IF('08_MERGED_ANALYSIS'!C4="S1",'08_MERGED_ANALYSIS'!F4,"")</f>
        <v/>
      </c>
      <c r="S4">
        <f>IF('08_MERGED_ANALYSIS'!C4="S2",'08_MERGED_ANALYSIS'!D4,"")</f>
        <v/>
      </c>
      <c r="T4">
        <f>IF('08_MERGED_ANALYSIS'!C4="S2",'08_MERGED_ANALYSIS'!E4,"")</f>
        <v/>
      </c>
      <c r="U4">
        <f>IF('08_MERGED_ANALYSIS'!C4="S2",'08_MERGED_ANALYSIS'!F4,"")</f>
        <v/>
      </c>
      <c r="V4">
        <f>IF(P4="","",P4+Q4+R4)</f>
        <v/>
      </c>
      <c r="W4">
        <f>IF(S4="","",S4+T4+U4)</f>
        <v/>
      </c>
      <c r="X4">
        <f>IF(AND('08_MERGED_ANALYSIS'!C4="S1",'08_MERGED_ANALYSIS'!J4&lt;&gt;"",'08_MERGED_ANALYSIS'!J4&gt;=0,'08_MERGED_ANALYSIS'!J4&lt;=3600),'08_MERGED_ANALYSIS'!J4,"")</f>
        <v/>
      </c>
      <c r="Y4">
        <f>IF(AND('08_MERGED_ANALYSIS'!C4="S2",'08_MERGED_ANALYSIS'!J4&lt;&gt;"",'08_MERGED_ANALYSIS'!J4&gt;=0,'08_MERGED_ANALYSIS'!J4&lt;=3600),'08_MERGED_ANALYSIS'!J4,"")</f>
        <v/>
      </c>
      <c r="Z4">
        <f>IF('08_MERGED_ANALYSIS'!C4="S1",'08_MERGED_ANALYSIS'!K4,"")</f>
        <v/>
      </c>
      <c r="AA4">
        <f>IF('08_MERGED_ANALYSIS'!C4="S2",'08_MERGED_ANALYSIS'!K4,"")</f>
        <v/>
      </c>
      <c r="AB4">
        <f>IF('08_MERGED_ANALYSIS'!H4=1,'08_MERGED_ANALYSIS'!G4,"")</f>
        <v/>
      </c>
      <c r="AC4">
        <f>IF('08_MERGED_ANALYSIS'!H4=0,'08_MERGED_ANALYSIS'!G4,"")</f>
        <v/>
      </c>
      <c r="AD4">
        <f>IF('08_MERGED_ANALYSIS'!L4&lt;&gt;"",'08_MERGED_ANALYSIS'!F4,"")</f>
        <v/>
      </c>
      <c r="AE4">
        <f>IF('08_MERGED_ANALYSIS'!L4&lt;&gt;"",IF('08_MERGED_ANALYSIS'!L4,1,0),"")</f>
        <v/>
      </c>
    </row>
    <row r="5">
      <c r="A5" t="inlineStr">
        <is>
          <t>Mean</t>
        </is>
      </c>
      <c r="B5">
        <f>AVERAGE('08_MERGED_ANALYSIS'!$G$2:$G$44)</f>
        <v/>
      </c>
      <c r="C5">
        <f>AVERAGEIFS('08_MERGED_ANALYSIS'!$G$2:$G$44,'08_MERGED_ANALYSIS'!$C$2:$C$44,"S1")</f>
        <v/>
      </c>
      <c r="D5">
        <f>AVERAGEIFS('08_MERGED_ANALYSIS'!$G$2:$G$44,'08_MERGED_ANALYSIS'!$C$2:$C$44,"S2")</f>
        <v/>
      </c>
      <c r="N5">
        <f>IF('08_MERGED_ANALYSIS'!C5="S1",'08_MERGED_ANALYSIS'!G5,"")</f>
        <v/>
      </c>
      <c r="O5">
        <f>IF('08_MERGED_ANALYSIS'!C5="S2",'08_MERGED_ANALYSIS'!G5,"")</f>
        <v/>
      </c>
      <c r="P5">
        <f>IF('08_MERGED_ANALYSIS'!C5="S1",'08_MERGED_ANALYSIS'!D5,"")</f>
        <v/>
      </c>
      <c r="Q5">
        <f>IF('08_MERGED_ANALYSIS'!C5="S1",'08_MERGED_ANALYSIS'!E5,"")</f>
        <v/>
      </c>
      <c r="R5">
        <f>IF('08_MERGED_ANALYSIS'!C5="S1",'08_MERGED_ANALYSIS'!F5,"")</f>
        <v/>
      </c>
      <c r="S5">
        <f>IF('08_MERGED_ANALYSIS'!C5="S2",'08_MERGED_ANALYSIS'!D5,"")</f>
        <v/>
      </c>
      <c r="T5">
        <f>IF('08_MERGED_ANALYSIS'!C5="S2",'08_MERGED_ANALYSIS'!E5,"")</f>
        <v/>
      </c>
      <c r="U5">
        <f>IF('08_MERGED_ANALYSIS'!C5="S2",'08_MERGED_ANALYSIS'!F5,"")</f>
        <v/>
      </c>
      <c r="V5">
        <f>IF(P5="","",P5+Q5+R5)</f>
        <v/>
      </c>
      <c r="W5">
        <f>IF(S5="","",S5+T5+U5)</f>
        <v/>
      </c>
      <c r="X5">
        <f>IF(AND('08_MERGED_ANALYSIS'!C5="S1",'08_MERGED_ANALYSIS'!J5&lt;&gt;"",'08_MERGED_ANALYSIS'!J5&gt;=0,'08_MERGED_ANALYSIS'!J5&lt;=3600),'08_MERGED_ANALYSIS'!J5,"")</f>
        <v/>
      </c>
      <c r="Y5">
        <f>IF(AND('08_MERGED_ANALYSIS'!C5="S2",'08_MERGED_ANALYSIS'!J5&lt;&gt;"",'08_MERGED_ANALYSIS'!J5&gt;=0,'08_MERGED_ANALYSIS'!J5&lt;=3600),'08_MERGED_ANALYSIS'!J5,"")</f>
        <v/>
      </c>
      <c r="Z5">
        <f>IF('08_MERGED_ANALYSIS'!C5="S1",'08_MERGED_ANALYSIS'!K5,"")</f>
        <v/>
      </c>
      <c r="AA5">
        <f>IF('08_MERGED_ANALYSIS'!C5="S2",'08_MERGED_ANALYSIS'!K5,"")</f>
        <v/>
      </c>
      <c r="AB5">
        <f>IF('08_MERGED_ANALYSIS'!H5=1,'08_MERGED_ANALYSIS'!G5,"")</f>
        <v/>
      </c>
      <c r="AC5">
        <f>IF('08_MERGED_ANALYSIS'!H5=0,'08_MERGED_ANALYSIS'!G5,"")</f>
        <v/>
      </c>
      <c r="AD5">
        <f>IF('08_MERGED_ANALYSIS'!L5&lt;&gt;"",'08_MERGED_ANALYSIS'!F5,"")</f>
        <v/>
      </c>
      <c r="AE5">
        <f>IF('08_MERGED_ANALYSIS'!L5&lt;&gt;"",IF('08_MERGED_ANALYSIS'!L5,1,0),"")</f>
        <v/>
      </c>
    </row>
    <row r="6">
      <c r="A6" t="inlineStr">
        <is>
          <t>Median</t>
        </is>
      </c>
      <c r="B6">
        <f>MEDIAN('08_MERGED_ANALYSIS'!$G$2:$G$44)</f>
        <v/>
      </c>
      <c r="N6">
        <f>IF('08_MERGED_ANALYSIS'!C6="S1",'08_MERGED_ANALYSIS'!G6,"")</f>
        <v/>
      </c>
      <c r="O6">
        <f>IF('08_MERGED_ANALYSIS'!C6="S2",'08_MERGED_ANALYSIS'!G6,"")</f>
        <v/>
      </c>
      <c r="P6">
        <f>IF('08_MERGED_ANALYSIS'!C6="S1",'08_MERGED_ANALYSIS'!D6,"")</f>
        <v/>
      </c>
      <c r="Q6">
        <f>IF('08_MERGED_ANALYSIS'!C6="S1",'08_MERGED_ANALYSIS'!E6,"")</f>
        <v/>
      </c>
      <c r="R6">
        <f>IF('08_MERGED_ANALYSIS'!C6="S1",'08_MERGED_ANALYSIS'!F6,"")</f>
        <v/>
      </c>
      <c r="S6">
        <f>IF('08_MERGED_ANALYSIS'!C6="S2",'08_MERGED_ANALYSIS'!D6,"")</f>
        <v/>
      </c>
      <c r="T6">
        <f>IF('08_MERGED_ANALYSIS'!C6="S2",'08_MERGED_ANALYSIS'!E6,"")</f>
        <v/>
      </c>
      <c r="U6">
        <f>IF('08_MERGED_ANALYSIS'!C6="S2",'08_MERGED_ANALYSIS'!F6,"")</f>
        <v/>
      </c>
      <c r="V6">
        <f>IF(P6="","",P6+Q6+R6)</f>
        <v/>
      </c>
      <c r="W6">
        <f>IF(S6="","",S6+T6+U6)</f>
        <v/>
      </c>
      <c r="X6">
        <f>IF(AND('08_MERGED_ANALYSIS'!C6="S1",'08_MERGED_ANALYSIS'!J6&lt;&gt;"",'08_MERGED_ANALYSIS'!J6&gt;=0,'08_MERGED_ANALYSIS'!J6&lt;=3600),'08_MERGED_ANALYSIS'!J6,"")</f>
        <v/>
      </c>
      <c r="Y6">
        <f>IF(AND('08_MERGED_ANALYSIS'!C6="S2",'08_MERGED_ANALYSIS'!J6&lt;&gt;"",'08_MERGED_ANALYSIS'!J6&gt;=0,'08_MERGED_ANALYSIS'!J6&lt;=3600),'08_MERGED_ANALYSIS'!J6,"")</f>
        <v/>
      </c>
      <c r="Z6">
        <f>IF('08_MERGED_ANALYSIS'!C6="S1",'08_MERGED_ANALYSIS'!K6,"")</f>
        <v/>
      </c>
      <c r="AA6">
        <f>IF('08_MERGED_ANALYSIS'!C6="S2",'08_MERGED_ANALYSIS'!K6,"")</f>
        <v/>
      </c>
      <c r="AB6">
        <f>IF('08_MERGED_ANALYSIS'!H6=1,'08_MERGED_ANALYSIS'!G6,"")</f>
        <v/>
      </c>
      <c r="AC6">
        <f>IF('08_MERGED_ANALYSIS'!H6=0,'08_MERGED_ANALYSIS'!G6,"")</f>
        <v/>
      </c>
      <c r="AD6">
        <f>IF('08_MERGED_ANALYSIS'!L6&lt;&gt;"",'08_MERGED_ANALYSIS'!F6,"")</f>
        <v/>
      </c>
      <c r="AE6">
        <f>IF('08_MERGED_ANALYSIS'!L6&lt;&gt;"",IF('08_MERGED_ANALYSIS'!L6,1,0),"")</f>
        <v/>
      </c>
    </row>
    <row r="7">
      <c r="A7" t="inlineStr">
        <is>
          <t>SD</t>
        </is>
      </c>
      <c r="B7">
        <f>STDEV.S('08_MERGED_ANALYSIS'!$G$2:$G$44)</f>
        <v/>
      </c>
      <c r="N7">
        <f>IF('08_MERGED_ANALYSIS'!C7="S1",'08_MERGED_ANALYSIS'!G7,"")</f>
        <v/>
      </c>
      <c r="O7">
        <f>IF('08_MERGED_ANALYSIS'!C7="S2",'08_MERGED_ANALYSIS'!G7,"")</f>
        <v/>
      </c>
      <c r="P7">
        <f>IF('08_MERGED_ANALYSIS'!C7="S1",'08_MERGED_ANALYSIS'!D7,"")</f>
        <v/>
      </c>
      <c r="Q7">
        <f>IF('08_MERGED_ANALYSIS'!C7="S1",'08_MERGED_ANALYSIS'!E7,"")</f>
        <v/>
      </c>
      <c r="R7">
        <f>IF('08_MERGED_ANALYSIS'!C7="S1",'08_MERGED_ANALYSIS'!F7,"")</f>
        <v/>
      </c>
      <c r="S7">
        <f>IF('08_MERGED_ANALYSIS'!C7="S2",'08_MERGED_ANALYSIS'!D7,"")</f>
        <v/>
      </c>
      <c r="T7">
        <f>IF('08_MERGED_ANALYSIS'!C7="S2",'08_MERGED_ANALYSIS'!E7,"")</f>
        <v/>
      </c>
      <c r="U7">
        <f>IF('08_MERGED_ANALYSIS'!C7="S2",'08_MERGED_ANALYSIS'!F7,"")</f>
        <v/>
      </c>
      <c r="V7">
        <f>IF(P7="","",P7+Q7+R7)</f>
        <v/>
      </c>
      <c r="W7">
        <f>IF(S7="","",S7+T7+U7)</f>
        <v/>
      </c>
      <c r="X7">
        <f>IF(AND('08_MERGED_ANALYSIS'!C7="S1",'08_MERGED_ANALYSIS'!J7&lt;&gt;"",'08_MERGED_ANALYSIS'!J7&gt;=0,'08_MERGED_ANALYSIS'!J7&lt;=3600),'08_MERGED_ANALYSIS'!J7,"")</f>
        <v/>
      </c>
      <c r="Y7">
        <f>IF(AND('08_MERGED_ANALYSIS'!C7="S2",'08_MERGED_ANALYSIS'!J7&lt;&gt;"",'08_MERGED_ANALYSIS'!J7&gt;=0,'08_MERGED_ANALYSIS'!J7&lt;=3600),'08_MERGED_ANALYSIS'!J7,"")</f>
        <v/>
      </c>
      <c r="Z7">
        <f>IF('08_MERGED_ANALYSIS'!C7="S1",'08_MERGED_ANALYSIS'!K7,"")</f>
        <v/>
      </c>
      <c r="AA7">
        <f>IF('08_MERGED_ANALYSIS'!C7="S2",'08_MERGED_ANALYSIS'!K7,"")</f>
        <v/>
      </c>
      <c r="AB7">
        <f>IF('08_MERGED_ANALYSIS'!H7=1,'08_MERGED_ANALYSIS'!G7,"")</f>
        <v/>
      </c>
      <c r="AC7">
        <f>IF('08_MERGED_ANALYSIS'!H7=0,'08_MERGED_ANALYSIS'!G7,"")</f>
        <v/>
      </c>
      <c r="AD7">
        <f>IF('08_MERGED_ANALYSIS'!L7&lt;&gt;"",'08_MERGED_ANALYSIS'!F7,"")</f>
        <v/>
      </c>
      <c r="AE7">
        <f>IF('08_MERGED_ANALYSIS'!L7&lt;&gt;"",IF('08_MERGED_ANALYSIS'!L7,1,0),"")</f>
        <v/>
      </c>
    </row>
    <row r="8">
      <c r="A8" t="inlineStr">
        <is>
          <t>Min</t>
        </is>
      </c>
      <c r="B8">
        <f>MIN('08_MERGED_ANALYSIS'!$G$2:$G$44)</f>
        <v/>
      </c>
      <c r="N8">
        <f>IF('08_MERGED_ANALYSIS'!C8="S1",'08_MERGED_ANALYSIS'!G8,"")</f>
        <v/>
      </c>
      <c r="O8">
        <f>IF('08_MERGED_ANALYSIS'!C8="S2",'08_MERGED_ANALYSIS'!G8,"")</f>
        <v/>
      </c>
      <c r="P8">
        <f>IF('08_MERGED_ANALYSIS'!C8="S1",'08_MERGED_ANALYSIS'!D8,"")</f>
        <v/>
      </c>
      <c r="Q8">
        <f>IF('08_MERGED_ANALYSIS'!C8="S1",'08_MERGED_ANALYSIS'!E8,"")</f>
        <v/>
      </c>
      <c r="R8">
        <f>IF('08_MERGED_ANALYSIS'!C8="S1",'08_MERGED_ANALYSIS'!F8,"")</f>
        <v/>
      </c>
      <c r="S8">
        <f>IF('08_MERGED_ANALYSIS'!C8="S2",'08_MERGED_ANALYSIS'!D8,"")</f>
        <v/>
      </c>
      <c r="T8">
        <f>IF('08_MERGED_ANALYSIS'!C8="S2",'08_MERGED_ANALYSIS'!E8,"")</f>
        <v/>
      </c>
      <c r="U8">
        <f>IF('08_MERGED_ANALYSIS'!C8="S2",'08_MERGED_ANALYSIS'!F8,"")</f>
        <v/>
      </c>
      <c r="V8">
        <f>IF(P8="","",P8+Q8+R8)</f>
        <v/>
      </c>
      <c r="W8">
        <f>IF(S8="","",S8+T8+U8)</f>
        <v/>
      </c>
      <c r="X8">
        <f>IF(AND('08_MERGED_ANALYSIS'!C8="S1",'08_MERGED_ANALYSIS'!J8&lt;&gt;"",'08_MERGED_ANALYSIS'!J8&gt;=0,'08_MERGED_ANALYSIS'!J8&lt;=3600),'08_MERGED_ANALYSIS'!J8,"")</f>
        <v/>
      </c>
      <c r="Y8">
        <f>IF(AND('08_MERGED_ANALYSIS'!C8="S2",'08_MERGED_ANALYSIS'!J8&lt;&gt;"",'08_MERGED_ANALYSIS'!J8&gt;=0,'08_MERGED_ANALYSIS'!J8&lt;=3600),'08_MERGED_ANALYSIS'!J8,"")</f>
        <v/>
      </c>
      <c r="Z8">
        <f>IF('08_MERGED_ANALYSIS'!C8="S1",'08_MERGED_ANALYSIS'!K8,"")</f>
        <v/>
      </c>
      <c r="AA8">
        <f>IF('08_MERGED_ANALYSIS'!C8="S2",'08_MERGED_ANALYSIS'!K8,"")</f>
        <v/>
      </c>
      <c r="AB8">
        <f>IF('08_MERGED_ANALYSIS'!H8=1,'08_MERGED_ANALYSIS'!G8,"")</f>
        <v/>
      </c>
      <c r="AC8">
        <f>IF('08_MERGED_ANALYSIS'!H8=0,'08_MERGED_ANALYSIS'!G8,"")</f>
        <v/>
      </c>
      <c r="AD8">
        <f>IF('08_MERGED_ANALYSIS'!L8&lt;&gt;"",'08_MERGED_ANALYSIS'!F8,"")</f>
        <v/>
      </c>
      <c r="AE8">
        <f>IF('08_MERGED_ANALYSIS'!L8&lt;&gt;"",IF('08_MERGED_ANALYSIS'!L8,1,0),"")</f>
        <v/>
      </c>
    </row>
    <row r="9">
      <c r="A9" t="inlineStr">
        <is>
          <t>Max</t>
        </is>
      </c>
      <c r="B9">
        <f>MAX('08_MERGED_ANALYSIS'!$G$2:$G$44)</f>
        <v/>
      </c>
      <c r="N9">
        <f>IF('08_MERGED_ANALYSIS'!C9="S1",'08_MERGED_ANALYSIS'!G9,"")</f>
        <v/>
      </c>
      <c r="O9">
        <f>IF('08_MERGED_ANALYSIS'!C9="S2",'08_MERGED_ANALYSIS'!G9,"")</f>
        <v/>
      </c>
      <c r="P9">
        <f>IF('08_MERGED_ANALYSIS'!C9="S1",'08_MERGED_ANALYSIS'!D9,"")</f>
        <v/>
      </c>
      <c r="Q9">
        <f>IF('08_MERGED_ANALYSIS'!C9="S1",'08_MERGED_ANALYSIS'!E9,"")</f>
        <v/>
      </c>
      <c r="R9">
        <f>IF('08_MERGED_ANALYSIS'!C9="S1",'08_MERGED_ANALYSIS'!F9,"")</f>
        <v/>
      </c>
      <c r="S9">
        <f>IF('08_MERGED_ANALYSIS'!C9="S2",'08_MERGED_ANALYSIS'!D9,"")</f>
        <v/>
      </c>
      <c r="T9">
        <f>IF('08_MERGED_ANALYSIS'!C9="S2",'08_MERGED_ANALYSIS'!E9,"")</f>
        <v/>
      </c>
      <c r="U9">
        <f>IF('08_MERGED_ANALYSIS'!C9="S2",'08_MERGED_ANALYSIS'!F9,"")</f>
        <v/>
      </c>
      <c r="V9">
        <f>IF(P9="","",P9+Q9+R9)</f>
        <v/>
      </c>
      <c r="W9">
        <f>IF(S9="","",S9+T9+U9)</f>
        <v/>
      </c>
      <c r="X9">
        <f>IF(AND('08_MERGED_ANALYSIS'!C9="S1",'08_MERGED_ANALYSIS'!J9&lt;&gt;"",'08_MERGED_ANALYSIS'!J9&gt;=0,'08_MERGED_ANALYSIS'!J9&lt;=3600),'08_MERGED_ANALYSIS'!J9,"")</f>
        <v/>
      </c>
      <c r="Y9">
        <f>IF(AND('08_MERGED_ANALYSIS'!C9="S2",'08_MERGED_ANALYSIS'!J9&lt;&gt;"",'08_MERGED_ANALYSIS'!J9&gt;=0,'08_MERGED_ANALYSIS'!J9&lt;=3600),'08_MERGED_ANALYSIS'!J9,"")</f>
        <v/>
      </c>
      <c r="Z9">
        <f>IF('08_MERGED_ANALYSIS'!C9="S1",'08_MERGED_ANALYSIS'!K9,"")</f>
        <v/>
      </c>
      <c r="AA9">
        <f>IF('08_MERGED_ANALYSIS'!C9="S2",'08_MERGED_ANALYSIS'!K9,"")</f>
        <v/>
      </c>
      <c r="AB9">
        <f>IF('08_MERGED_ANALYSIS'!H9=1,'08_MERGED_ANALYSIS'!G9,"")</f>
        <v/>
      </c>
      <c r="AC9">
        <f>IF('08_MERGED_ANALYSIS'!H9=0,'08_MERGED_ANALYSIS'!G9,"")</f>
        <v/>
      </c>
      <c r="AD9">
        <f>IF('08_MERGED_ANALYSIS'!L9&lt;&gt;"",'08_MERGED_ANALYSIS'!F9,"")</f>
        <v/>
      </c>
      <c r="AE9">
        <f>IF('08_MERGED_ANALYSIS'!L9&lt;&gt;"",IF('08_MERGED_ANALYSIS'!L9,1,0),"")</f>
        <v/>
      </c>
    </row>
    <row r="10">
      <c r="A10" t="inlineStr">
        <is>
          <t>95% CI lower</t>
        </is>
      </c>
      <c r="B10">
        <f>B5-CONFIDENCE.T(0.05,B7,B4)</f>
        <v/>
      </c>
      <c r="N10">
        <f>IF('08_MERGED_ANALYSIS'!C10="S1",'08_MERGED_ANALYSIS'!G10,"")</f>
        <v/>
      </c>
      <c r="O10">
        <f>IF('08_MERGED_ANALYSIS'!C10="S2",'08_MERGED_ANALYSIS'!G10,"")</f>
        <v/>
      </c>
      <c r="P10">
        <f>IF('08_MERGED_ANALYSIS'!C10="S1",'08_MERGED_ANALYSIS'!D10,"")</f>
        <v/>
      </c>
      <c r="Q10">
        <f>IF('08_MERGED_ANALYSIS'!C10="S1",'08_MERGED_ANALYSIS'!E10,"")</f>
        <v/>
      </c>
      <c r="R10">
        <f>IF('08_MERGED_ANALYSIS'!C10="S1",'08_MERGED_ANALYSIS'!F10,"")</f>
        <v/>
      </c>
      <c r="S10">
        <f>IF('08_MERGED_ANALYSIS'!C10="S2",'08_MERGED_ANALYSIS'!D10,"")</f>
        <v/>
      </c>
      <c r="T10">
        <f>IF('08_MERGED_ANALYSIS'!C10="S2",'08_MERGED_ANALYSIS'!E10,"")</f>
        <v/>
      </c>
      <c r="U10">
        <f>IF('08_MERGED_ANALYSIS'!C10="S2",'08_MERGED_ANALYSIS'!F10,"")</f>
        <v/>
      </c>
      <c r="V10">
        <f>IF(P10="","",P10+Q10+R10)</f>
        <v/>
      </c>
      <c r="W10">
        <f>IF(S10="","",S10+T10+U10)</f>
        <v/>
      </c>
      <c r="X10">
        <f>IF(AND('08_MERGED_ANALYSIS'!C10="S1",'08_MERGED_ANALYSIS'!J10&lt;&gt;"",'08_MERGED_ANALYSIS'!J10&gt;=0,'08_MERGED_ANALYSIS'!J10&lt;=3600),'08_MERGED_ANALYSIS'!J10,"")</f>
        <v/>
      </c>
      <c r="Y10">
        <f>IF(AND('08_MERGED_ANALYSIS'!C10="S2",'08_MERGED_ANALYSIS'!J10&lt;&gt;"",'08_MERGED_ANALYSIS'!J10&gt;=0,'08_MERGED_ANALYSIS'!J10&lt;=3600),'08_MERGED_ANALYSIS'!J10,"")</f>
        <v/>
      </c>
      <c r="Z10">
        <f>IF('08_MERGED_ANALYSIS'!C10="S1",'08_MERGED_ANALYSIS'!K10,"")</f>
        <v/>
      </c>
      <c r="AA10">
        <f>IF('08_MERGED_ANALYSIS'!C10="S2",'08_MERGED_ANALYSIS'!K10,"")</f>
        <v/>
      </c>
      <c r="AB10">
        <f>IF('08_MERGED_ANALYSIS'!H10=1,'08_MERGED_ANALYSIS'!G10,"")</f>
        <v/>
      </c>
      <c r="AC10">
        <f>IF('08_MERGED_ANALYSIS'!H10=0,'08_MERGED_ANALYSIS'!G10,"")</f>
        <v/>
      </c>
      <c r="AD10">
        <f>IF('08_MERGED_ANALYSIS'!L10&lt;&gt;"",'08_MERGED_ANALYSIS'!F10,"")</f>
        <v/>
      </c>
      <c r="AE10">
        <f>IF('08_MERGED_ANALYSIS'!L10&lt;&gt;"",IF('08_MERGED_ANALYSIS'!L10,1,0),"")</f>
        <v/>
      </c>
    </row>
    <row r="11">
      <c r="A11" t="inlineStr">
        <is>
          <t>95% CI upper</t>
        </is>
      </c>
      <c r="B11">
        <f>B5+CONFIDENCE.T(0.05,B7,B4)</f>
        <v/>
      </c>
      <c r="N11">
        <f>IF('08_MERGED_ANALYSIS'!C11="S1",'08_MERGED_ANALYSIS'!G11,"")</f>
        <v/>
      </c>
      <c r="O11">
        <f>IF('08_MERGED_ANALYSIS'!C11="S2",'08_MERGED_ANALYSIS'!G11,"")</f>
        <v/>
      </c>
      <c r="P11">
        <f>IF('08_MERGED_ANALYSIS'!C11="S1",'08_MERGED_ANALYSIS'!D11,"")</f>
        <v/>
      </c>
      <c r="Q11">
        <f>IF('08_MERGED_ANALYSIS'!C11="S1",'08_MERGED_ANALYSIS'!E11,"")</f>
        <v/>
      </c>
      <c r="R11">
        <f>IF('08_MERGED_ANALYSIS'!C11="S1",'08_MERGED_ANALYSIS'!F11,"")</f>
        <v/>
      </c>
      <c r="S11">
        <f>IF('08_MERGED_ANALYSIS'!C11="S2",'08_MERGED_ANALYSIS'!D11,"")</f>
        <v/>
      </c>
      <c r="T11">
        <f>IF('08_MERGED_ANALYSIS'!C11="S2",'08_MERGED_ANALYSIS'!E11,"")</f>
        <v/>
      </c>
      <c r="U11">
        <f>IF('08_MERGED_ANALYSIS'!C11="S2",'08_MERGED_ANALYSIS'!F11,"")</f>
        <v/>
      </c>
      <c r="V11">
        <f>IF(P11="","",P11+Q11+R11)</f>
        <v/>
      </c>
      <c r="W11">
        <f>IF(S11="","",S11+T11+U11)</f>
        <v/>
      </c>
      <c r="X11">
        <f>IF(AND('08_MERGED_ANALYSIS'!C11="S1",'08_MERGED_ANALYSIS'!J11&lt;&gt;"",'08_MERGED_ANALYSIS'!J11&gt;=0,'08_MERGED_ANALYSIS'!J11&lt;=3600),'08_MERGED_ANALYSIS'!J11,"")</f>
        <v/>
      </c>
      <c r="Y11">
        <f>IF(AND('08_MERGED_ANALYSIS'!C11="S2",'08_MERGED_ANALYSIS'!J11&lt;&gt;"",'08_MERGED_ANALYSIS'!J11&gt;=0,'08_MERGED_ANALYSIS'!J11&lt;=3600),'08_MERGED_ANALYSIS'!J11,"")</f>
        <v/>
      </c>
      <c r="Z11">
        <f>IF('08_MERGED_ANALYSIS'!C11="S1",'08_MERGED_ANALYSIS'!K11,"")</f>
        <v/>
      </c>
      <c r="AA11">
        <f>IF('08_MERGED_ANALYSIS'!C11="S2",'08_MERGED_ANALYSIS'!K11,"")</f>
        <v/>
      </c>
      <c r="AB11">
        <f>IF('08_MERGED_ANALYSIS'!H11=1,'08_MERGED_ANALYSIS'!G11,"")</f>
        <v/>
      </c>
      <c r="AC11">
        <f>IF('08_MERGED_ANALYSIS'!H11=0,'08_MERGED_ANALYSIS'!G11,"")</f>
        <v/>
      </c>
      <c r="AD11">
        <f>IF('08_MERGED_ANALYSIS'!L11&lt;&gt;"",'08_MERGED_ANALYSIS'!F11,"")</f>
        <v/>
      </c>
      <c r="AE11">
        <f>IF('08_MERGED_ANALYSIS'!L11&lt;&gt;"",IF('08_MERGED_ANALYSIS'!L11,1,0),"")</f>
        <v/>
      </c>
    </row>
    <row r="12">
      <c r="N12">
        <f>IF('08_MERGED_ANALYSIS'!C12="S1",'08_MERGED_ANALYSIS'!G12,"")</f>
        <v/>
      </c>
      <c r="O12">
        <f>IF('08_MERGED_ANALYSIS'!C12="S2",'08_MERGED_ANALYSIS'!G12,"")</f>
        <v/>
      </c>
      <c r="P12">
        <f>IF('08_MERGED_ANALYSIS'!C12="S1",'08_MERGED_ANALYSIS'!D12,"")</f>
        <v/>
      </c>
      <c r="Q12">
        <f>IF('08_MERGED_ANALYSIS'!C12="S1",'08_MERGED_ANALYSIS'!E12,"")</f>
        <v/>
      </c>
      <c r="R12">
        <f>IF('08_MERGED_ANALYSIS'!C12="S1",'08_MERGED_ANALYSIS'!F12,"")</f>
        <v/>
      </c>
      <c r="S12">
        <f>IF('08_MERGED_ANALYSIS'!C12="S2",'08_MERGED_ANALYSIS'!D12,"")</f>
        <v/>
      </c>
      <c r="T12">
        <f>IF('08_MERGED_ANALYSIS'!C12="S2",'08_MERGED_ANALYSIS'!E12,"")</f>
        <v/>
      </c>
      <c r="U12">
        <f>IF('08_MERGED_ANALYSIS'!C12="S2",'08_MERGED_ANALYSIS'!F12,"")</f>
        <v/>
      </c>
      <c r="V12">
        <f>IF(P12="","",P12+Q12+R12)</f>
        <v/>
      </c>
      <c r="W12">
        <f>IF(S12="","",S12+T12+U12)</f>
        <v/>
      </c>
      <c r="X12">
        <f>IF(AND('08_MERGED_ANALYSIS'!C12="S1",'08_MERGED_ANALYSIS'!J12&lt;&gt;"",'08_MERGED_ANALYSIS'!J12&gt;=0,'08_MERGED_ANALYSIS'!J12&lt;=3600),'08_MERGED_ANALYSIS'!J12,"")</f>
        <v/>
      </c>
      <c r="Y12">
        <f>IF(AND('08_MERGED_ANALYSIS'!C12="S2",'08_MERGED_ANALYSIS'!J12&lt;&gt;"",'08_MERGED_ANALYSIS'!J12&gt;=0,'08_MERGED_ANALYSIS'!J12&lt;=3600),'08_MERGED_ANALYSIS'!J12,"")</f>
        <v/>
      </c>
      <c r="Z12">
        <f>IF('08_MERGED_ANALYSIS'!C12="S1",'08_MERGED_ANALYSIS'!K12,"")</f>
        <v/>
      </c>
      <c r="AA12">
        <f>IF('08_MERGED_ANALYSIS'!C12="S2",'08_MERGED_ANALYSIS'!K12,"")</f>
        <v/>
      </c>
      <c r="AB12">
        <f>IF('08_MERGED_ANALYSIS'!H12=1,'08_MERGED_ANALYSIS'!G12,"")</f>
        <v/>
      </c>
      <c r="AC12">
        <f>IF('08_MERGED_ANALYSIS'!H12=0,'08_MERGED_ANALYSIS'!G12,"")</f>
        <v/>
      </c>
      <c r="AD12">
        <f>IF('08_MERGED_ANALYSIS'!L12&lt;&gt;"",'08_MERGED_ANALYSIS'!F12,"")</f>
        <v/>
      </c>
      <c r="AE12">
        <f>IF('08_MERGED_ANALYSIS'!L12&lt;&gt;"",IF('08_MERGED_ANALYSIS'!L12,1,0),"")</f>
        <v/>
      </c>
    </row>
    <row r="13">
      <c r="A13" s="5" t="inlineStr">
        <is>
          <t>B. Cronbach's Alpha per Scenario (3 ASQ items, indicative)</t>
        </is>
      </c>
      <c r="N13">
        <f>IF('08_MERGED_ANALYSIS'!C13="S1",'08_MERGED_ANALYSIS'!G13,"")</f>
        <v/>
      </c>
      <c r="O13">
        <f>IF('08_MERGED_ANALYSIS'!C13="S2",'08_MERGED_ANALYSIS'!G13,"")</f>
        <v/>
      </c>
      <c r="P13">
        <f>IF('08_MERGED_ANALYSIS'!C13="S1",'08_MERGED_ANALYSIS'!D13,"")</f>
        <v/>
      </c>
      <c r="Q13">
        <f>IF('08_MERGED_ANALYSIS'!C13="S1",'08_MERGED_ANALYSIS'!E13,"")</f>
        <v/>
      </c>
      <c r="R13">
        <f>IF('08_MERGED_ANALYSIS'!C13="S1",'08_MERGED_ANALYSIS'!F13,"")</f>
        <v/>
      </c>
      <c r="S13">
        <f>IF('08_MERGED_ANALYSIS'!C13="S2",'08_MERGED_ANALYSIS'!D13,"")</f>
        <v/>
      </c>
      <c r="T13">
        <f>IF('08_MERGED_ANALYSIS'!C13="S2",'08_MERGED_ANALYSIS'!E13,"")</f>
        <v/>
      </c>
      <c r="U13">
        <f>IF('08_MERGED_ANALYSIS'!C13="S2",'08_MERGED_ANALYSIS'!F13,"")</f>
        <v/>
      </c>
      <c r="V13">
        <f>IF(P13="","",P13+Q13+R13)</f>
        <v/>
      </c>
      <c r="W13">
        <f>IF(S13="","",S13+T13+U13)</f>
        <v/>
      </c>
      <c r="X13">
        <f>IF(AND('08_MERGED_ANALYSIS'!C13="S1",'08_MERGED_ANALYSIS'!J13&lt;&gt;"",'08_MERGED_ANALYSIS'!J13&gt;=0,'08_MERGED_ANALYSIS'!J13&lt;=3600),'08_MERGED_ANALYSIS'!J13,"")</f>
        <v/>
      </c>
      <c r="Y13">
        <f>IF(AND('08_MERGED_ANALYSIS'!C13="S2",'08_MERGED_ANALYSIS'!J13&lt;&gt;"",'08_MERGED_ANALYSIS'!J13&gt;=0,'08_MERGED_ANALYSIS'!J13&lt;=3600),'08_MERGED_ANALYSIS'!J13,"")</f>
        <v/>
      </c>
      <c r="Z13">
        <f>IF('08_MERGED_ANALYSIS'!C13="S1",'08_MERGED_ANALYSIS'!K13,"")</f>
        <v/>
      </c>
      <c r="AA13">
        <f>IF('08_MERGED_ANALYSIS'!C13="S2",'08_MERGED_ANALYSIS'!K13,"")</f>
        <v/>
      </c>
      <c r="AB13">
        <f>IF('08_MERGED_ANALYSIS'!H13=1,'08_MERGED_ANALYSIS'!G13,"")</f>
        <v/>
      </c>
      <c r="AC13">
        <f>IF('08_MERGED_ANALYSIS'!H13=0,'08_MERGED_ANALYSIS'!G13,"")</f>
        <v/>
      </c>
      <c r="AD13">
        <f>IF('08_MERGED_ANALYSIS'!L13&lt;&gt;"",'08_MERGED_ANALYSIS'!F13,"")</f>
        <v/>
      </c>
      <c r="AE13">
        <f>IF('08_MERGED_ANALYSIS'!L13&lt;&gt;"",IF('08_MERGED_ANALYSIS'!L13,1,0),"")</f>
        <v/>
      </c>
    </row>
    <row r="14">
      <c r="N14">
        <f>IF('08_MERGED_ANALYSIS'!C14="S1",'08_MERGED_ANALYSIS'!G14,"")</f>
        <v/>
      </c>
      <c r="O14">
        <f>IF('08_MERGED_ANALYSIS'!C14="S2",'08_MERGED_ANALYSIS'!G14,"")</f>
        <v/>
      </c>
      <c r="P14">
        <f>IF('08_MERGED_ANALYSIS'!C14="S1",'08_MERGED_ANALYSIS'!D14,"")</f>
        <v/>
      </c>
      <c r="Q14">
        <f>IF('08_MERGED_ANALYSIS'!C14="S1",'08_MERGED_ANALYSIS'!E14,"")</f>
        <v/>
      </c>
      <c r="R14">
        <f>IF('08_MERGED_ANALYSIS'!C14="S1",'08_MERGED_ANALYSIS'!F14,"")</f>
        <v/>
      </c>
      <c r="S14">
        <f>IF('08_MERGED_ANALYSIS'!C14="S2",'08_MERGED_ANALYSIS'!D14,"")</f>
        <v/>
      </c>
      <c r="T14">
        <f>IF('08_MERGED_ANALYSIS'!C14="S2",'08_MERGED_ANALYSIS'!E14,"")</f>
        <v/>
      </c>
      <c r="U14">
        <f>IF('08_MERGED_ANALYSIS'!C14="S2",'08_MERGED_ANALYSIS'!F14,"")</f>
        <v/>
      </c>
      <c r="V14">
        <f>IF(P14="","",P14+Q14+R14)</f>
        <v/>
      </c>
      <c r="W14">
        <f>IF(S14="","",S14+T14+U14)</f>
        <v/>
      </c>
      <c r="X14">
        <f>IF(AND('08_MERGED_ANALYSIS'!C14="S1",'08_MERGED_ANALYSIS'!J14&lt;&gt;"",'08_MERGED_ANALYSIS'!J14&gt;=0,'08_MERGED_ANALYSIS'!J14&lt;=3600),'08_MERGED_ANALYSIS'!J14,"")</f>
        <v/>
      </c>
      <c r="Y14">
        <f>IF(AND('08_MERGED_ANALYSIS'!C14="S2",'08_MERGED_ANALYSIS'!J14&lt;&gt;"",'08_MERGED_ANALYSIS'!J14&gt;=0,'08_MERGED_ANALYSIS'!J14&lt;=3600),'08_MERGED_ANALYSIS'!J14,"")</f>
        <v/>
      </c>
      <c r="Z14">
        <f>IF('08_MERGED_ANALYSIS'!C14="S1",'08_MERGED_ANALYSIS'!K14,"")</f>
        <v/>
      </c>
      <c r="AA14">
        <f>IF('08_MERGED_ANALYSIS'!C14="S2",'08_MERGED_ANALYSIS'!K14,"")</f>
        <v/>
      </c>
      <c r="AB14">
        <f>IF('08_MERGED_ANALYSIS'!H14=1,'08_MERGED_ANALYSIS'!G14,"")</f>
        <v/>
      </c>
      <c r="AC14">
        <f>IF('08_MERGED_ANALYSIS'!H14=0,'08_MERGED_ANALYSIS'!G14,"")</f>
        <v/>
      </c>
      <c r="AD14">
        <f>IF('08_MERGED_ANALYSIS'!L14&lt;&gt;"",'08_MERGED_ANALYSIS'!F14,"")</f>
        <v/>
      </c>
      <c r="AE14">
        <f>IF('08_MERGED_ANALYSIS'!L14&lt;&gt;"",IF('08_MERGED_ANALYSIS'!L14,1,0),"")</f>
        <v/>
      </c>
    </row>
    <row r="15">
      <c r="A15" s="4" t="inlineStr">
        <is>
          <t>Scenario</t>
        </is>
      </c>
      <c r="B15" s="4" t="inlineStr">
        <is>
          <t>n</t>
        </is>
      </c>
      <c r="C15" s="4" t="inlineStr">
        <is>
          <t>Cronbach's alpha</t>
        </is>
      </c>
      <c r="N15">
        <f>IF('08_MERGED_ANALYSIS'!C15="S1",'08_MERGED_ANALYSIS'!G15,"")</f>
        <v/>
      </c>
      <c r="O15">
        <f>IF('08_MERGED_ANALYSIS'!C15="S2",'08_MERGED_ANALYSIS'!G15,"")</f>
        <v/>
      </c>
      <c r="P15">
        <f>IF('08_MERGED_ANALYSIS'!C15="S1",'08_MERGED_ANALYSIS'!D15,"")</f>
        <v/>
      </c>
      <c r="Q15">
        <f>IF('08_MERGED_ANALYSIS'!C15="S1",'08_MERGED_ANALYSIS'!E15,"")</f>
        <v/>
      </c>
      <c r="R15">
        <f>IF('08_MERGED_ANALYSIS'!C15="S1",'08_MERGED_ANALYSIS'!F15,"")</f>
        <v/>
      </c>
      <c r="S15">
        <f>IF('08_MERGED_ANALYSIS'!C15="S2",'08_MERGED_ANALYSIS'!D15,"")</f>
        <v/>
      </c>
      <c r="T15">
        <f>IF('08_MERGED_ANALYSIS'!C15="S2",'08_MERGED_ANALYSIS'!E15,"")</f>
        <v/>
      </c>
      <c r="U15">
        <f>IF('08_MERGED_ANALYSIS'!C15="S2",'08_MERGED_ANALYSIS'!F15,"")</f>
        <v/>
      </c>
      <c r="V15">
        <f>IF(P15="","",P15+Q15+R15)</f>
        <v/>
      </c>
      <c r="W15">
        <f>IF(S15="","",S15+T15+U15)</f>
        <v/>
      </c>
      <c r="X15">
        <f>IF(AND('08_MERGED_ANALYSIS'!C15="S1",'08_MERGED_ANALYSIS'!J15&lt;&gt;"",'08_MERGED_ANALYSIS'!J15&gt;=0,'08_MERGED_ANALYSIS'!J15&lt;=3600),'08_MERGED_ANALYSIS'!J15,"")</f>
        <v/>
      </c>
      <c r="Y15">
        <f>IF(AND('08_MERGED_ANALYSIS'!C15="S2",'08_MERGED_ANALYSIS'!J15&lt;&gt;"",'08_MERGED_ANALYSIS'!J15&gt;=0,'08_MERGED_ANALYSIS'!J15&lt;=3600),'08_MERGED_ANALYSIS'!J15,"")</f>
        <v/>
      </c>
      <c r="Z15">
        <f>IF('08_MERGED_ANALYSIS'!C15="S1",'08_MERGED_ANALYSIS'!K15,"")</f>
        <v/>
      </c>
      <c r="AA15">
        <f>IF('08_MERGED_ANALYSIS'!C15="S2",'08_MERGED_ANALYSIS'!K15,"")</f>
        <v/>
      </c>
      <c r="AB15">
        <f>IF('08_MERGED_ANALYSIS'!H15=1,'08_MERGED_ANALYSIS'!G15,"")</f>
        <v/>
      </c>
      <c r="AC15">
        <f>IF('08_MERGED_ANALYSIS'!H15=0,'08_MERGED_ANALYSIS'!G15,"")</f>
        <v/>
      </c>
      <c r="AD15">
        <f>IF('08_MERGED_ANALYSIS'!L15&lt;&gt;"",'08_MERGED_ANALYSIS'!F15,"")</f>
        <v/>
      </c>
      <c r="AE15">
        <f>IF('08_MERGED_ANALYSIS'!L15&lt;&gt;"",IF('08_MERGED_ANALYSIS'!L15,1,0),"")</f>
        <v/>
      </c>
    </row>
    <row r="16">
      <c r="A16" t="inlineStr">
        <is>
          <t>S1</t>
        </is>
      </c>
      <c r="B16">
        <f>COUNT(P2:P44)</f>
        <v/>
      </c>
      <c r="C16">
        <f>(3/2)*(1-(VAR.S(P2:P44)+VAR.S(Q2:Q44)+VAR.S(R2:R44))/VAR.S(V2:V44))</f>
        <v/>
      </c>
      <c r="N16">
        <f>IF('08_MERGED_ANALYSIS'!C16="S1",'08_MERGED_ANALYSIS'!G16,"")</f>
        <v/>
      </c>
      <c r="O16">
        <f>IF('08_MERGED_ANALYSIS'!C16="S2",'08_MERGED_ANALYSIS'!G16,"")</f>
        <v/>
      </c>
      <c r="P16">
        <f>IF('08_MERGED_ANALYSIS'!C16="S1",'08_MERGED_ANALYSIS'!D16,"")</f>
        <v/>
      </c>
      <c r="Q16">
        <f>IF('08_MERGED_ANALYSIS'!C16="S1",'08_MERGED_ANALYSIS'!E16,"")</f>
        <v/>
      </c>
      <c r="R16">
        <f>IF('08_MERGED_ANALYSIS'!C16="S1",'08_MERGED_ANALYSIS'!F16,"")</f>
        <v/>
      </c>
      <c r="S16">
        <f>IF('08_MERGED_ANALYSIS'!C16="S2",'08_MERGED_ANALYSIS'!D16,"")</f>
        <v/>
      </c>
      <c r="T16">
        <f>IF('08_MERGED_ANALYSIS'!C16="S2",'08_MERGED_ANALYSIS'!E16,"")</f>
        <v/>
      </c>
      <c r="U16">
        <f>IF('08_MERGED_ANALYSIS'!C16="S2",'08_MERGED_ANALYSIS'!F16,"")</f>
        <v/>
      </c>
      <c r="V16">
        <f>IF(P16="","",P16+Q16+R16)</f>
        <v/>
      </c>
      <c r="W16">
        <f>IF(S16="","",S16+T16+U16)</f>
        <v/>
      </c>
      <c r="X16">
        <f>IF(AND('08_MERGED_ANALYSIS'!C16="S1",'08_MERGED_ANALYSIS'!J16&lt;&gt;"",'08_MERGED_ANALYSIS'!J16&gt;=0,'08_MERGED_ANALYSIS'!J16&lt;=3600),'08_MERGED_ANALYSIS'!J16,"")</f>
        <v/>
      </c>
      <c r="Y16">
        <f>IF(AND('08_MERGED_ANALYSIS'!C16="S2",'08_MERGED_ANALYSIS'!J16&lt;&gt;"",'08_MERGED_ANALYSIS'!J16&gt;=0,'08_MERGED_ANALYSIS'!J16&lt;=3600),'08_MERGED_ANALYSIS'!J16,"")</f>
        <v/>
      </c>
      <c r="Z16">
        <f>IF('08_MERGED_ANALYSIS'!C16="S1",'08_MERGED_ANALYSIS'!K16,"")</f>
        <v/>
      </c>
      <c r="AA16">
        <f>IF('08_MERGED_ANALYSIS'!C16="S2",'08_MERGED_ANALYSIS'!K16,"")</f>
        <v/>
      </c>
      <c r="AB16">
        <f>IF('08_MERGED_ANALYSIS'!H16=1,'08_MERGED_ANALYSIS'!G16,"")</f>
        <v/>
      </c>
      <c r="AC16">
        <f>IF('08_MERGED_ANALYSIS'!H16=0,'08_MERGED_ANALYSIS'!G16,"")</f>
        <v/>
      </c>
      <c r="AD16">
        <f>IF('08_MERGED_ANALYSIS'!L16&lt;&gt;"",'08_MERGED_ANALYSIS'!F16,"")</f>
        <v/>
      </c>
      <c r="AE16">
        <f>IF('08_MERGED_ANALYSIS'!L16&lt;&gt;"",IF('08_MERGED_ANALYSIS'!L16,1,0),"")</f>
        <v/>
      </c>
    </row>
    <row r="17">
      <c r="A17" t="inlineStr">
        <is>
          <t>S2</t>
        </is>
      </c>
      <c r="B17">
        <f>COUNT(S2:S44)</f>
        <v/>
      </c>
      <c r="C17">
        <f>(3/2)*(1-(VAR.S(S2:S44)+VAR.S(T2:T44)+VAR.S(U2:U44))/VAR.S(W2:W44))</f>
        <v/>
      </c>
      <c r="N17">
        <f>IF('08_MERGED_ANALYSIS'!C17="S1",'08_MERGED_ANALYSIS'!G17,"")</f>
        <v/>
      </c>
      <c r="O17">
        <f>IF('08_MERGED_ANALYSIS'!C17="S2",'08_MERGED_ANALYSIS'!G17,"")</f>
        <v/>
      </c>
      <c r="P17">
        <f>IF('08_MERGED_ANALYSIS'!C17="S1",'08_MERGED_ANALYSIS'!D17,"")</f>
        <v/>
      </c>
      <c r="Q17">
        <f>IF('08_MERGED_ANALYSIS'!C17="S1",'08_MERGED_ANALYSIS'!E17,"")</f>
        <v/>
      </c>
      <c r="R17">
        <f>IF('08_MERGED_ANALYSIS'!C17="S1",'08_MERGED_ANALYSIS'!F17,"")</f>
        <v/>
      </c>
      <c r="S17">
        <f>IF('08_MERGED_ANALYSIS'!C17="S2",'08_MERGED_ANALYSIS'!D17,"")</f>
        <v/>
      </c>
      <c r="T17">
        <f>IF('08_MERGED_ANALYSIS'!C17="S2",'08_MERGED_ANALYSIS'!E17,"")</f>
        <v/>
      </c>
      <c r="U17">
        <f>IF('08_MERGED_ANALYSIS'!C17="S2",'08_MERGED_ANALYSIS'!F17,"")</f>
        <v/>
      </c>
      <c r="V17">
        <f>IF(P17="","",P17+Q17+R17)</f>
        <v/>
      </c>
      <c r="W17">
        <f>IF(S17="","",S17+T17+U17)</f>
        <v/>
      </c>
      <c r="X17">
        <f>IF(AND('08_MERGED_ANALYSIS'!C17="S1",'08_MERGED_ANALYSIS'!J17&lt;&gt;"",'08_MERGED_ANALYSIS'!J17&gt;=0,'08_MERGED_ANALYSIS'!J17&lt;=3600),'08_MERGED_ANALYSIS'!J17,"")</f>
        <v/>
      </c>
      <c r="Y17">
        <f>IF(AND('08_MERGED_ANALYSIS'!C17="S2",'08_MERGED_ANALYSIS'!J17&lt;&gt;"",'08_MERGED_ANALYSIS'!J17&gt;=0,'08_MERGED_ANALYSIS'!J17&lt;=3600),'08_MERGED_ANALYSIS'!J17,"")</f>
        <v/>
      </c>
      <c r="Z17">
        <f>IF('08_MERGED_ANALYSIS'!C17="S1",'08_MERGED_ANALYSIS'!K17,"")</f>
        <v/>
      </c>
      <c r="AA17">
        <f>IF('08_MERGED_ANALYSIS'!C17="S2",'08_MERGED_ANALYSIS'!K17,"")</f>
        <v/>
      </c>
      <c r="AB17">
        <f>IF('08_MERGED_ANALYSIS'!H17=1,'08_MERGED_ANALYSIS'!G17,"")</f>
        <v/>
      </c>
      <c r="AC17">
        <f>IF('08_MERGED_ANALYSIS'!H17=0,'08_MERGED_ANALYSIS'!G17,"")</f>
        <v/>
      </c>
      <c r="AD17">
        <f>IF('08_MERGED_ANALYSIS'!L17&lt;&gt;"",'08_MERGED_ANALYSIS'!F17,"")</f>
        <v/>
      </c>
      <c r="AE17">
        <f>IF('08_MERGED_ANALYSIS'!L17&lt;&gt;"",IF('08_MERGED_ANALYSIS'!L17,1,0),"")</f>
        <v/>
      </c>
    </row>
    <row r="18">
      <c r="A18" s="3" t="inlineStr">
        <is>
          <t>Formula: Cronbach's alpha = (k/(k-1))*(1 - sum(item variances)/variance(total score)), computed via the helper columns in N:AC (one row per observation, scenario-filtered) -- plain VAR.S formulas, no array/CSE entry required.</t>
        </is>
      </c>
      <c r="N18">
        <f>IF('08_MERGED_ANALYSIS'!C18="S1",'08_MERGED_ANALYSIS'!G18,"")</f>
        <v/>
      </c>
      <c r="O18">
        <f>IF('08_MERGED_ANALYSIS'!C18="S2",'08_MERGED_ANALYSIS'!G18,"")</f>
        <v/>
      </c>
      <c r="P18">
        <f>IF('08_MERGED_ANALYSIS'!C18="S1",'08_MERGED_ANALYSIS'!D18,"")</f>
        <v/>
      </c>
      <c r="Q18">
        <f>IF('08_MERGED_ANALYSIS'!C18="S1",'08_MERGED_ANALYSIS'!E18,"")</f>
        <v/>
      </c>
      <c r="R18">
        <f>IF('08_MERGED_ANALYSIS'!C18="S1",'08_MERGED_ANALYSIS'!F18,"")</f>
        <v/>
      </c>
      <c r="S18">
        <f>IF('08_MERGED_ANALYSIS'!C18="S2",'08_MERGED_ANALYSIS'!D18,"")</f>
        <v/>
      </c>
      <c r="T18">
        <f>IF('08_MERGED_ANALYSIS'!C18="S2",'08_MERGED_ANALYSIS'!E18,"")</f>
        <v/>
      </c>
      <c r="U18">
        <f>IF('08_MERGED_ANALYSIS'!C18="S2",'08_MERGED_ANALYSIS'!F18,"")</f>
        <v/>
      </c>
      <c r="V18">
        <f>IF(P18="","",P18+Q18+R18)</f>
        <v/>
      </c>
      <c r="W18">
        <f>IF(S18="","",S18+T18+U18)</f>
        <v/>
      </c>
      <c r="X18">
        <f>IF(AND('08_MERGED_ANALYSIS'!C18="S1",'08_MERGED_ANALYSIS'!J18&lt;&gt;"",'08_MERGED_ANALYSIS'!J18&gt;=0,'08_MERGED_ANALYSIS'!J18&lt;=3600),'08_MERGED_ANALYSIS'!J18,"")</f>
        <v/>
      </c>
      <c r="Y18">
        <f>IF(AND('08_MERGED_ANALYSIS'!C18="S2",'08_MERGED_ANALYSIS'!J18&lt;&gt;"",'08_MERGED_ANALYSIS'!J18&gt;=0,'08_MERGED_ANALYSIS'!J18&lt;=3600),'08_MERGED_ANALYSIS'!J18,"")</f>
        <v/>
      </c>
      <c r="Z18">
        <f>IF('08_MERGED_ANALYSIS'!C18="S1",'08_MERGED_ANALYSIS'!K18,"")</f>
        <v/>
      </c>
      <c r="AA18">
        <f>IF('08_MERGED_ANALYSIS'!C18="S2",'08_MERGED_ANALYSIS'!K18,"")</f>
        <v/>
      </c>
      <c r="AB18">
        <f>IF('08_MERGED_ANALYSIS'!H18=1,'08_MERGED_ANALYSIS'!G18,"")</f>
        <v/>
      </c>
      <c r="AC18">
        <f>IF('08_MERGED_ANALYSIS'!H18=0,'08_MERGED_ANALYSIS'!G18,"")</f>
        <v/>
      </c>
      <c r="AD18">
        <f>IF('08_MERGED_ANALYSIS'!L18&lt;&gt;"",'08_MERGED_ANALYSIS'!F18,"")</f>
        <v/>
      </c>
      <c r="AE18">
        <f>IF('08_MERGED_ANALYSIS'!L18&lt;&gt;"",IF('08_MERGED_ANALYSIS'!L18,1,0),"")</f>
        <v/>
      </c>
    </row>
    <row r="19">
      <c r="N19">
        <f>IF('08_MERGED_ANALYSIS'!C19="S1",'08_MERGED_ANALYSIS'!G19,"")</f>
        <v/>
      </c>
      <c r="O19">
        <f>IF('08_MERGED_ANALYSIS'!C19="S2",'08_MERGED_ANALYSIS'!G19,"")</f>
        <v/>
      </c>
      <c r="P19">
        <f>IF('08_MERGED_ANALYSIS'!C19="S1",'08_MERGED_ANALYSIS'!D19,"")</f>
        <v/>
      </c>
      <c r="Q19">
        <f>IF('08_MERGED_ANALYSIS'!C19="S1",'08_MERGED_ANALYSIS'!E19,"")</f>
        <v/>
      </c>
      <c r="R19">
        <f>IF('08_MERGED_ANALYSIS'!C19="S1",'08_MERGED_ANALYSIS'!F19,"")</f>
        <v/>
      </c>
      <c r="S19">
        <f>IF('08_MERGED_ANALYSIS'!C19="S2",'08_MERGED_ANALYSIS'!D19,"")</f>
        <v/>
      </c>
      <c r="T19">
        <f>IF('08_MERGED_ANALYSIS'!C19="S2",'08_MERGED_ANALYSIS'!E19,"")</f>
        <v/>
      </c>
      <c r="U19">
        <f>IF('08_MERGED_ANALYSIS'!C19="S2",'08_MERGED_ANALYSIS'!F19,"")</f>
        <v/>
      </c>
      <c r="V19">
        <f>IF(P19="","",P19+Q19+R19)</f>
        <v/>
      </c>
      <c r="W19">
        <f>IF(S19="","",S19+T19+U19)</f>
        <v/>
      </c>
      <c r="X19">
        <f>IF(AND('08_MERGED_ANALYSIS'!C19="S1",'08_MERGED_ANALYSIS'!J19&lt;&gt;"",'08_MERGED_ANALYSIS'!J19&gt;=0,'08_MERGED_ANALYSIS'!J19&lt;=3600),'08_MERGED_ANALYSIS'!J19,"")</f>
        <v/>
      </c>
      <c r="Y19">
        <f>IF(AND('08_MERGED_ANALYSIS'!C19="S2",'08_MERGED_ANALYSIS'!J19&lt;&gt;"",'08_MERGED_ANALYSIS'!J19&gt;=0,'08_MERGED_ANALYSIS'!J19&lt;=3600),'08_MERGED_ANALYSIS'!J19,"")</f>
        <v/>
      </c>
      <c r="Z19">
        <f>IF('08_MERGED_ANALYSIS'!C19="S1",'08_MERGED_ANALYSIS'!K19,"")</f>
        <v/>
      </c>
      <c r="AA19">
        <f>IF('08_MERGED_ANALYSIS'!C19="S2",'08_MERGED_ANALYSIS'!K19,"")</f>
        <v/>
      </c>
      <c r="AB19">
        <f>IF('08_MERGED_ANALYSIS'!H19=1,'08_MERGED_ANALYSIS'!G19,"")</f>
        <v/>
      </c>
      <c r="AC19">
        <f>IF('08_MERGED_ANALYSIS'!H19=0,'08_MERGED_ANALYSIS'!G19,"")</f>
        <v/>
      </c>
      <c r="AD19">
        <f>IF('08_MERGED_ANALYSIS'!L19&lt;&gt;"",'08_MERGED_ANALYSIS'!F19,"")</f>
        <v/>
      </c>
      <c r="AE19">
        <f>IF('08_MERGED_ANALYSIS'!L19&lt;&gt;"",IF('08_MERGED_ANALYSIS'!L19,1,0),"")</f>
        <v/>
      </c>
    </row>
    <row r="20">
      <c r="A20" s="5" t="inlineStr">
        <is>
          <t>C. Task Success Rate per Scenario (success = answer_status in {answered, verified})</t>
        </is>
      </c>
      <c r="N20">
        <f>IF('08_MERGED_ANALYSIS'!C20="S1",'08_MERGED_ANALYSIS'!G20,"")</f>
        <v/>
      </c>
      <c r="O20">
        <f>IF('08_MERGED_ANALYSIS'!C20="S2",'08_MERGED_ANALYSIS'!G20,"")</f>
        <v/>
      </c>
      <c r="P20">
        <f>IF('08_MERGED_ANALYSIS'!C20="S1",'08_MERGED_ANALYSIS'!D20,"")</f>
        <v/>
      </c>
      <c r="Q20">
        <f>IF('08_MERGED_ANALYSIS'!C20="S1",'08_MERGED_ANALYSIS'!E20,"")</f>
        <v/>
      </c>
      <c r="R20">
        <f>IF('08_MERGED_ANALYSIS'!C20="S1",'08_MERGED_ANALYSIS'!F20,"")</f>
        <v/>
      </c>
      <c r="S20">
        <f>IF('08_MERGED_ANALYSIS'!C20="S2",'08_MERGED_ANALYSIS'!D20,"")</f>
        <v/>
      </c>
      <c r="T20">
        <f>IF('08_MERGED_ANALYSIS'!C20="S2",'08_MERGED_ANALYSIS'!E20,"")</f>
        <v/>
      </c>
      <c r="U20">
        <f>IF('08_MERGED_ANALYSIS'!C20="S2",'08_MERGED_ANALYSIS'!F20,"")</f>
        <v/>
      </c>
      <c r="V20">
        <f>IF(P20="","",P20+Q20+R20)</f>
        <v/>
      </c>
      <c r="W20">
        <f>IF(S20="","",S20+T20+U20)</f>
        <v/>
      </c>
      <c r="X20">
        <f>IF(AND('08_MERGED_ANALYSIS'!C20="S1",'08_MERGED_ANALYSIS'!J20&lt;&gt;"",'08_MERGED_ANALYSIS'!J20&gt;=0,'08_MERGED_ANALYSIS'!J20&lt;=3600),'08_MERGED_ANALYSIS'!J20,"")</f>
        <v/>
      </c>
      <c r="Y20">
        <f>IF(AND('08_MERGED_ANALYSIS'!C20="S2",'08_MERGED_ANALYSIS'!J20&lt;&gt;"",'08_MERGED_ANALYSIS'!J20&gt;=0,'08_MERGED_ANALYSIS'!J20&lt;=3600),'08_MERGED_ANALYSIS'!J20,"")</f>
        <v/>
      </c>
      <c r="Z20">
        <f>IF('08_MERGED_ANALYSIS'!C20="S1",'08_MERGED_ANALYSIS'!K20,"")</f>
        <v/>
      </c>
      <c r="AA20">
        <f>IF('08_MERGED_ANALYSIS'!C20="S2",'08_MERGED_ANALYSIS'!K20,"")</f>
        <v/>
      </c>
      <c r="AB20">
        <f>IF('08_MERGED_ANALYSIS'!H20=1,'08_MERGED_ANALYSIS'!G20,"")</f>
        <v/>
      </c>
      <c r="AC20">
        <f>IF('08_MERGED_ANALYSIS'!H20=0,'08_MERGED_ANALYSIS'!G20,"")</f>
        <v/>
      </c>
      <c r="AD20">
        <f>IF('08_MERGED_ANALYSIS'!L20&lt;&gt;"",'08_MERGED_ANALYSIS'!F20,"")</f>
        <v/>
      </c>
      <c r="AE20">
        <f>IF('08_MERGED_ANALYSIS'!L20&lt;&gt;"",IF('08_MERGED_ANALYSIS'!L20,1,0),"")</f>
        <v/>
      </c>
    </row>
    <row r="21">
      <c r="N21">
        <f>IF('08_MERGED_ANALYSIS'!C21="S1",'08_MERGED_ANALYSIS'!G21,"")</f>
        <v/>
      </c>
      <c r="O21">
        <f>IF('08_MERGED_ANALYSIS'!C21="S2",'08_MERGED_ANALYSIS'!G21,"")</f>
        <v/>
      </c>
      <c r="P21">
        <f>IF('08_MERGED_ANALYSIS'!C21="S1",'08_MERGED_ANALYSIS'!D21,"")</f>
        <v/>
      </c>
      <c r="Q21">
        <f>IF('08_MERGED_ANALYSIS'!C21="S1",'08_MERGED_ANALYSIS'!E21,"")</f>
        <v/>
      </c>
      <c r="R21">
        <f>IF('08_MERGED_ANALYSIS'!C21="S1",'08_MERGED_ANALYSIS'!F21,"")</f>
        <v/>
      </c>
      <c r="S21">
        <f>IF('08_MERGED_ANALYSIS'!C21="S2",'08_MERGED_ANALYSIS'!D21,"")</f>
        <v/>
      </c>
      <c r="T21">
        <f>IF('08_MERGED_ANALYSIS'!C21="S2",'08_MERGED_ANALYSIS'!E21,"")</f>
        <v/>
      </c>
      <c r="U21">
        <f>IF('08_MERGED_ANALYSIS'!C21="S2",'08_MERGED_ANALYSIS'!F21,"")</f>
        <v/>
      </c>
      <c r="V21">
        <f>IF(P21="","",P21+Q21+R21)</f>
        <v/>
      </c>
      <c r="W21">
        <f>IF(S21="","",S21+T21+U21)</f>
        <v/>
      </c>
      <c r="X21">
        <f>IF(AND('08_MERGED_ANALYSIS'!C21="S1",'08_MERGED_ANALYSIS'!J21&lt;&gt;"",'08_MERGED_ANALYSIS'!J21&gt;=0,'08_MERGED_ANALYSIS'!J21&lt;=3600),'08_MERGED_ANALYSIS'!J21,"")</f>
        <v/>
      </c>
      <c r="Y21">
        <f>IF(AND('08_MERGED_ANALYSIS'!C21="S2",'08_MERGED_ANALYSIS'!J21&lt;&gt;"",'08_MERGED_ANALYSIS'!J21&gt;=0,'08_MERGED_ANALYSIS'!J21&lt;=3600),'08_MERGED_ANALYSIS'!J21,"")</f>
        <v/>
      </c>
      <c r="Z21">
        <f>IF('08_MERGED_ANALYSIS'!C21="S1",'08_MERGED_ANALYSIS'!K21,"")</f>
        <v/>
      </c>
      <c r="AA21">
        <f>IF('08_MERGED_ANALYSIS'!C21="S2",'08_MERGED_ANALYSIS'!K21,"")</f>
        <v/>
      </c>
      <c r="AB21">
        <f>IF('08_MERGED_ANALYSIS'!H21=1,'08_MERGED_ANALYSIS'!G21,"")</f>
        <v/>
      </c>
      <c r="AC21">
        <f>IF('08_MERGED_ANALYSIS'!H21=0,'08_MERGED_ANALYSIS'!G21,"")</f>
        <v/>
      </c>
      <c r="AD21">
        <f>IF('08_MERGED_ANALYSIS'!L21&lt;&gt;"",'08_MERGED_ANALYSIS'!F21,"")</f>
        <v/>
      </c>
      <c r="AE21">
        <f>IF('08_MERGED_ANALYSIS'!L21&lt;&gt;"",IF('08_MERGED_ANALYSIS'!L21,1,0),"")</f>
        <v/>
      </c>
    </row>
    <row r="22">
      <c r="A22" s="4" t="inlineStr">
        <is>
          <t>Scenario</t>
        </is>
      </c>
      <c r="B22" s="4" t="inlineStr">
        <is>
          <t>n with linked turn</t>
        </is>
      </c>
      <c r="C22" s="4" t="inlineStr">
        <is>
          <t>n success</t>
        </is>
      </c>
      <c r="D22" s="4" t="inlineStr">
        <is>
          <t>success rate</t>
        </is>
      </c>
      <c r="N22">
        <f>IF('08_MERGED_ANALYSIS'!C22="S1",'08_MERGED_ANALYSIS'!G22,"")</f>
        <v/>
      </c>
      <c r="O22">
        <f>IF('08_MERGED_ANALYSIS'!C22="S2",'08_MERGED_ANALYSIS'!G22,"")</f>
        <v/>
      </c>
      <c r="P22">
        <f>IF('08_MERGED_ANALYSIS'!C22="S1",'08_MERGED_ANALYSIS'!D22,"")</f>
        <v/>
      </c>
      <c r="Q22">
        <f>IF('08_MERGED_ANALYSIS'!C22="S1",'08_MERGED_ANALYSIS'!E22,"")</f>
        <v/>
      </c>
      <c r="R22">
        <f>IF('08_MERGED_ANALYSIS'!C22="S1",'08_MERGED_ANALYSIS'!F22,"")</f>
        <v/>
      </c>
      <c r="S22">
        <f>IF('08_MERGED_ANALYSIS'!C22="S2",'08_MERGED_ANALYSIS'!D22,"")</f>
        <v/>
      </c>
      <c r="T22">
        <f>IF('08_MERGED_ANALYSIS'!C22="S2",'08_MERGED_ANALYSIS'!E22,"")</f>
        <v/>
      </c>
      <c r="U22">
        <f>IF('08_MERGED_ANALYSIS'!C22="S2",'08_MERGED_ANALYSIS'!F22,"")</f>
        <v/>
      </c>
      <c r="V22">
        <f>IF(P22="","",P22+Q22+R22)</f>
        <v/>
      </c>
      <c r="W22">
        <f>IF(S22="","",S22+T22+U22)</f>
        <v/>
      </c>
      <c r="X22">
        <f>IF(AND('08_MERGED_ANALYSIS'!C22="S1",'08_MERGED_ANALYSIS'!J22&lt;&gt;"",'08_MERGED_ANALYSIS'!J22&gt;=0,'08_MERGED_ANALYSIS'!J22&lt;=3600),'08_MERGED_ANALYSIS'!J22,"")</f>
        <v/>
      </c>
      <c r="Y22">
        <f>IF(AND('08_MERGED_ANALYSIS'!C22="S2",'08_MERGED_ANALYSIS'!J22&lt;&gt;"",'08_MERGED_ANALYSIS'!J22&gt;=0,'08_MERGED_ANALYSIS'!J22&lt;=3600),'08_MERGED_ANALYSIS'!J22,"")</f>
        <v/>
      </c>
      <c r="Z22">
        <f>IF('08_MERGED_ANALYSIS'!C22="S1",'08_MERGED_ANALYSIS'!K22,"")</f>
        <v/>
      </c>
      <c r="AA22">
        <f>IF('08_MERGED_ANALYSIS'!C22="S2",'08_MERGED_ANALYSIS'!K22,"")</f>
        <v/>
      </c>
      <c r="AB22">
        <f>IF('08_MERGED_ANALYSIS'!H22=1,'08_MERGED_ANALYSIS'!G22,"")</f>
        <v/>
      </c>
      <c r="AC22">
        <f>IF('08_MERGED_ANALYSIS'!H22=0,'08_MERGED_ANALYSIS'!G22,"")</f>
        <v/>
      </c>
      <c r="AD22">
        <f>IF('08_MERGED_ANALYSIS'!L22&lt;&gt;"",'08_MERGED_ANALYSIS'!F22,"")</f>
        <v/>
      </c>
      <c r="AE22">
        <f>IF('08_MERGED_ANALYSIS'!L22&lt;&gt;"",IF('08_MERGED_ANALYSIS'!L22,1,0),"")</f>
        <v/>
      </c>
    </row>
    <row r="23">
      <c r="A23" t="inlineStr">
        <is>
          <t>S1</t>
        </is>
      </c>
      <c r="B23">
        <f>COUNTIFS('08_MERGED_ANALYSIS'!$C$2:$C$44,"S1",'08_MERGED_ANALYSIS'!$H$2:$H$44,"&lt;&gt;")</f>
        <v/>
      </c>
      <c r="C23">
        <f>COUNTIFS('08_MERGED_ANALYSIS'!$C$2:$C$44,"S1",'08_MERGED_ANALYSIS'!$H$2:$H$44,1)</f>
        <v/>
      </c>
      <c r="D23">
        <f>C23/B23</f>
        <v/>
      </c>
      <c r="N23">
        <f>IF('08_MERGED_ANALYSIS'!C23="S1",'08_MERGED_ANALYSIS'!G23,"")</f>
        <v/>
      </c>
      <c r="O23">
        <f>IF('08_MERGED_ANALYSIS'!C23="S2",'08_MERGED_ANALYSIS'!G23,"")</f>
        <v/>
      </c>
      <c r="P23">
        <f>IF('08_MERGED_ANALYSIS'!C23="S1",'08_MERGED_ANALYSIS'!D23,"")</f>
        <v/>
      </c>
      <c r="Q23">
        <f>IF('08_MERGED_ANALYSIS'!C23="S1",'08_MERGED_ANALYSIS'!E23,"")</f>
        <v/>
      </c>
      <c r="R23">
        <f>IF('08_MERGED_ANALYSIS'!C23="S1",'08_MERGED_ANALYSIS'!F23,"")</f>
        <v/>
      </c>
      <c r="S23">
        <f>IF('08_MERGED_ANALYSIS'!C23="S2",'08_MERGED_ANALYSIS'!D23,"")</f>
        <v/>
      </c>
      <c r="T23">
        <f>IF('08_MERGED_ANALYSIS'!C23="S2",'08_MERGED_ANALYSIS'!E23,"")</f>
        <v/>
      </c>
      <c r="U23">
        <f>IF('08_MERGED_ANALYSIS'!C23="S2",'08_MERGED_ANALYSIS'!F23,"")</f>
        <v/>
      </c>
      <c r="V23">
        <f>IF(P23="","",P23+Q23+R23)</f>
        <v/>
      </c>
      <c r="W23">
        <f>IF(S23="","",S23+T23+U23)</f>
        <v/>
      </c>
      <c r="X23">
        <f>IF(AND('08_MERGED_ANALYSIS'!C23="S1",'08_MERGED_ANALYSIS'!J23&lt;&gt;"",'08_MERGED_ANALYSIS'!J23&gt;=0,'08_MERGED_ANALYSIS'!J23&lt;=3600),'08_MERGED_ANALYSIS'!J23,"")</f>
        <v/>
      </c>
      <c r="Y23">
        <f>IF(AND('08_MERGED_ANALYSIS'!C23="S2",'08_MERGED_ANALYSIS'!J23&lt;&gt;"",'08_MERGED_ANALYSIS'!J23&gt;=0,'08_MERGED_ANALYSIS'!J23&lt;=3600),'08_MERGED_ANALYSIS'!J23,"")</f>
        <v/>
      </c>
      <c r="Z23">
        <f>IF('08_MERGED_ANALYSIS'!C23="S1",'08_MERGED_ANALYSIS'!K23,"")</f>
        <v/>
      </c>
      <c r="AA23">
        <f>IF('08_MERGED_ANALYSIS'!C23="S2",'08_MERGED_ANALYSIS'!K23,"")</f>
        <v/>
      </c>
      <c r="AB23">
        <f>IF('08_MERGED_ANALYSIS'!H23=1,'08_MERGED_ANALYSIS'!G23,"")</f>
        <v/>
      </c>
      <c r="AC23">
        <f>IF('08_MERGED_ANALYSIS'!H23=0,'08_MERGED_ANALYSIS'!G23,"")</f>
        <v/>
      </c>
      <c r="AD23">
        <f>IF('08_MERGED_ANALYSIS'!L23&lt;&gt;"",'08_MERGED_ANALYSIS'!F23,"")</f>
        <v/>
      </c>
      <c r="AE23">
        <f>IF('08_MERGED_ANALYSIS'!L23&lt;&gt;"",IF('08_MERGED_ANALYSIS'!L23,1,0),"")</f>
        <v/>
      </c>
    </row>
    <row r="24">
      <c r="A24" t="inlineStr">
        <is>
          <t>S2</t>
        </is>
      </c>
      <c r="B24">
        <f>COUNTIFS('08_MERGED_ANALYSIS'!$C$2:$C$44,"S2",'08_MERGED_ANALYSIS'!$H$2:$H$44,"&lt;&gt;")</f>
        <v/>
      </c>
      <c r="C24">
        <f>COUNTIFS('08_MERGED_ANALYSIS'!$C$2:$C$44,"S2",'08_MERGED_ANALYSIS'!$H$2:$H$44,1)</f>
        <v/>
      </c>
      <c r="D24">
        <f>C24/B24</f>
        <v/>
      </c>
      <c r="N24">
        <f>IF('08_MERGED_ANALYSIS'!C24="S1",'08_MERGED_ANALYSIS'!G24,"")</f>
        <v/>
      </c>
      <c r="O24">
        <f>IF('08_MERGED_ANALYSIS'!C24="S2",'08_MERGED_ANALYSIS'!G24,"")</f>
        <v/>
      </c>
      <c r="P24">
        <f>IF('08_MERGED_ANALYSIS'!C24="S1",'08_MERGED_ANALYSIS'!D24,"")</f>
        <v/>
      </c>
      <c r="Q24">
        <f>IF('08_MERGED_ANALYSIS'!C24="S1",'08_MERGED_ANALYSIS'!E24,"")</f>
        <v/>
      </c>
      <c r="R24">
        <f>IF('08_MERGED_ANALYSIS'!C24="S1",'08_MERGED_ANALYSIS'!F24,"")</f>
        <v/>
      </c>
      <c r="S24">
        <f>IF('08_MERGED_ANALYSIS'!C24="S2",'08_MERGED_ANALYSIS'!D24,"")</f>
        <v/>
      </c>
      <c r="T24">
        <f>IF('08_MERGED_ANALYSIS'!C24="S2",'08_MERGED_ANALYSIS'!E24,"")</f>
        <v/>
      </c>
      <c r="U24">
        <f>IF('08_MERGED_ANALYSIS'!C24="S2",'08_MERGED_ANALYSIS'!F24,"")</f>
        <v/>
      </c>
      <c r="V24">
        <f>IF(P24="","",P24+Q24+R24)</f>
        <v/>
      </c>
      <c r="W24">
        <f>IF(S24="","",S24+T24+U24)</f>
        <v/>
      </c>
      <c r="X24">
        <f>IF(AND('08_MERGED_ANALYSIS'!C24="S1",'08_MERGED_ANALYSIS'!J24&lt;&gt;"",'08_MERGED_ANALYSIS'!J24&gt;=0,'08_MERGED_ANALYSIS'!J24&lt;=3600),'08_MERGED_ANALYSIS'!J24,"")</f>
        <v/>
      </c>
      <c r="Y24">
        <f>IF(AND('08_MERGED_ANALYSIS'!C24="S2",'08_MERGED_ANALYSIS'!J24&lt;&gt;"",'08_MERGED_ANALYSIS'!J24&gt;=0,'08_MERGED_ANALYSIS'!J24&lt;=3600),'08_MERGED_ANALYSIS'!J24,"")</f>
        <v/>
      </c>
      <c r="Z24">
        <f>IF('08_MERGED_ANALYSIS'!C24="S1",'08_MERGED_ANALYSIS'!K24,"")</f>
        <v/>
      </c>
      <c r="AA24">
        <f>IF('08_MERGED_ANALYSIS'!C24="S2",'08_MERGED_ANALYSIS'!K24,"")</f>
        <v/>
      </c>
      <c r="AB24">
        <f>IF('08_MERGED_ANALYSIS'!H24=1,'08_MERGED_ANALYSIS'!G24,"")</f>
        <v/>
      </c>
      <c r="AC24">
        <f>IF('08_MERGED_ANALYSIS'!H24=0,'08_MERGED_ANALYSIS'!G24,"")</f>
        <v/>
      </c>
      <c r="AD24">
        <f>IF('08_MERGED_ANALYSIS'!L24&lt;&gt;"",'08_MERGED_ANALYSIS'!F24,"")</f>
        <v/>
      </c>
      <c r="AE24">
        <f>IF('08_MERGED_ANALYSIS'!L24&lt;&gt;"",IF('08_MERGED_ANALYSIS'!L24,1,0),"")</f>
        <v/>
      </c>
    </row>
    <row r="25">
      <c r="N25">
        <f>IF('08_MERGED_ANALYSIS'!C25="S1",'08_MERGED_ANALYSIS'!G25,"")</f>
        <v/>
      </c>
      <c r="O25">
        <f>IF('08_MERGED_ANALYSIS'!C25="S2",'08_MERGED_ANALYSIS'!G25,"")</f>
        <v/>
      </c>
      <c r="P25">
        <f>IF('08_MERGED_ANALYSIS'!C25="S1",'08_MERGED_ANALYSIS'!D25,"")</f>
        <v/>
      </c>
      <c r="Q25">
        <f>IF('08_MERGED_ANALYSIS'!C25="S1",'08_MERGED_ANALYSIS'!E25,"")</f>
        <v/>
      </c>
      <c r="R25">
        <f>IF('08_MERGED_ANALYSIS'!C25="S1",'08_MERGED_ANALYSIS'!F25,"")</f>
        <v/>
      </c>
      <c r="S25">
        <f>IF('08_MERGED_ANALYSIS'!C25="S2",'08_MERGED_ANALYSIS'!D25,"")</f>
        <v/>
      </c>
      <c r="T25">
        <f>IF('08_MERGED_ANALYSIS'!C25="S2",'08_MERGED_ANALYSIS'!E25,"")</f>
        <v/>
      </c>
      <c r="U25">
        <f>IF('08_MERGED_ANALYSIS'!C25="S2",'08_MERGED_ANALYSIS'!F25,"")</f>
        <v/>
      </c>
      <c r="V25">
        <f>IF(P25="","",P25+Q25+R25)</f>
        <v/>
      </c>
      <c r="W25">
        <f>IF(S25="","",S25+T25+U25)</f>
        <v/>
      </c>
      <c r="X25">
        <f>IF(AND('08_MERGED_ANALYSIS'!C25="S1",'08_MERGED_ANALYSIS'!J25&lt;&gt;"",'08_MERGED_ANALYSIS'!J25&gt;=0,'08_MERGED_ANALYSIS'!J25&lt;=3600),'08_MERGED_ANALYSIS'!J25,"")</f>
        <v/>
      </c>
      <c r="Y25">
        <f>IF(AND('08_MERGED_ANALYSIS'!C25="S2",'08_MERGED_ANALYSIS'!J25&lt;&gt;"",'08_MERGED_ANALYSIS'!J25&gt;=0,'08_MERGED_ANALYSIS'!J25&lt;=3600),'08_MERGED_ANALYSIS'!J25,"")</f>
        <v/>
      </c>
      <c r="Z25">
        <f>IF('08_MERGED_ANALYSIS'!C25="S1",'08_MERGED_ANALYSIS'!K25,"")</f>
        <v/>
      </c>
      <c r="AA25">
        <f>IF('08_MERGED_ANALYSIS'!C25="S2",'08_MERGED_ANALYSIS'!K25,"")</f>
        <v/>
      </c>
      <c r="AB25">
        <f>IF('08_MERGED_ANALYSIS'!H25=1,'08_MERGED_ANALYSIS'!G25,"")</f>
        <v/>
      </c>
      <c r="AC25">
        <f>IF('08_MERGED_ANALYSIS'!H25=0,'08_MERGED_ANALYSIS'!G25,"")</f>
        <v/>
      </c>
      <c r="AD25">
        <f>IF('08_MERGED_ANALYSIS'!L25&lt;&gt;"",'08_MERGED_ANALYSIS'!F25,"")</f>
        <v/>
      </c>
      <c r="AE25">
        <f>IF('08_MERGED_ANALYSIS'!L25&lt;&gt;"",IF('08_MERGED_ANALYSIS'!L25,1,0),"")</f>
        <v/>
      </c>
    </row>
    <row r="26">
      <c r="A26" s="5" t="inlineStr">
        <is>
          <t>D. Completion Time (sec, proxy) and Latency (ms) per Scenario</t>
        </is>
      </c>
      <c r="N26">
        <f>IF('08_MERGED_ANALYSIS'!C26="S1",'08_MERGED_ANALYSIS'!G26,"")</f>
        <v/>
      </c>
      <c r="O26">
        <f>IF('08_MERGED_ANALYSIS'!C26="S2",'08_MERGED_ANALYSIS'!G26,"")</f>
        <v/>
      </c>
      <c r="P26">
        <f>IF('08_MERGED_ANALYSIS'!C26="S1",'08_MERGED_ANALYSIS'!D26,"")</f>
        <v/>
      </c>
      <c r="Q26">
        <f>IF('08_MERGED_ANALYSIS'!C26="S1",'08_MERGED_ANALYSIS'!E26,"")</f>
        <v/>
      </c>
      <c r="R26">
        <f>IF('08_MERGED_ANALYSIS'!C26="S1",'08_MERGED_ANALYSIS'!F26,"")</f>
        <v/>
      </c>
      <c r="S26">
        <f>IF('08_MERGED_ANALYSIS'!C26="S2",'08_MERGED_ANALYSIS'!D26,"")</f>
        <v/>
      </c>
      <c r="T26">
        <f>IF('08_MERGED_ANALYSIS'!C26="S2",'08_MERGED_ANALYSIS'!E26,"")</f>
        <v/>
      </c>
      <c r="U26">
        <f>IF('08_MERGED_ANALYSIS'!C26="S2",'08_MERGED_ANALYSIS'!F26,"")</f>
        <v/>
      </c>
      <c r="V26">
        <f>IF(P26="","",P26+Q26+R26)</f>
        <v/>
      </c>
      <c r="W26">
        <f>IF(S26="","",S26+T26+U26)</f>
        <v/>
      </c>
      <c r="X26">
        <f>IF(AND('08_MERGED_ANALYSIS'!C26="S1",'08_MERGED_ANALYSIS'!J26&lt;&gt;"",'08_MERGED_ANALYSIS'!J26&gt;=0,'08_MERGED_ANALYSIS'!J26&lt;=3600),'08_MERGED_ANALYSIS'!J26,"")</f>
        <v/>
      </c>
      <c r="Y26">
        <f>IF(AND('08_MERGED_ANALYSIS'!C26="S2",'08_MERGED_ANALYSIS'!J26&lt;&gt;"",'08_MERGED_ANALYSIS'!J26&gt;=0,'08_MERGED_ANALYSIS'!J26&lt;=3600),'08_MERGED_ANALYSIS'!J26,"")</f>
        <v/>
      </c>
      <c r="Z26">
        <f>IF('08_MERGED_ANALYSIS'!C26="S1",'08_MERGED_ANALYSIS'!K26,"")</f>
        <v/>
      </c>
      <c r="AA26">
        <f>IF('08_MERGED_ANALYSIS'!C26="S2",'08_MERGED_ANALYSIS'!K26,"")</f>
        <v/>
      </c>
      <c r="AB26">
        <f>IF('08_MERGED_ANALYSIS'!H26=1,'08_MERGED_ANALYSIS'!G26,"")</f>
        <v/>
      </c>
      <c r="AC26">
        <f>IF('08_MERGED_ANALYSIS'!H26=0,'08_MERGED_ANALYSIS'!G26,"")</f>
        <v/>
      </c>
      <c r="AD26">
        <f>IF('08_MERGED_ANALYSIS'!L26&lt;&gt;"",'08_MERGED_ANALYSIS'!F26,"")</f>
        <v/>
      </c>
      <c r="AE26">
        <f>IF('08_MERGED_ANALYSIS'!L26&lt;&gt;"",IF('08_MERGED_ANALYSIS'!L26,1,0),"")</f>
        <v/>
      </c>
    </row>
    <row r="27">
      <c r="N27">
        <f>IF('08_MERGED_ANALYSIS'!C27="S1",'08_MERGED_ANALYSIS'!G27,"")</f>
        <v/>
      </c>
      <c r="O27">
        <f>IF('08_MERGED_ANALYSIS'!C27="S2",'08_MERGED_ANALYSIS'!G27,"")</f>
        <v/>
      </c>
      <c r="P27">
        <f>IF('08_MERGED_ANALYSIS'!C27="S1",'08_MERGED_ANALYSIS'!D27,"")</f>
        <v/>
      </c>
      <c r="Q27">
        <f>IF('08_MERGED_ANALYSIS'!C27="S1",'08_MERGED_ANALYSIS'!E27,"")</f>
        <v/>
      </c>
      <c r="R27">
        <f>IF('08_MERGED_ANALYSIS'!C27="S1",'08_MERGED_ANALYSIS'!F27,"")</f>
        <v/>
      </c>
      <c r="S27">
        <f>IF('08_MERGED_ANALYSIS'!C27="S2",'08_MERGED_ANALYSIS'!D27,"")</f>
        <v/>
      </c>
      <c r="T27">
        <f>IF('08_MERGED_ANALYSIS'!C27="S2",'08_MERGED_ANALYSIS'!E27,"")</f>
        <v/>
      </c>
      <c r="U27">
        <f>IF('08_MERGED_ANALYSIS'!C27="S2",'08_MERGED_ANALYSIS'!F27,"")</f>
        <v/>
      </c>
      <c r="V27">
        <f>IF(P27="","",P27+Q27+R27)</f>
        <v/>
      </c>
      <c r="W27">
        <f>IF(S27="","",S27+T27+U27)</f>
        <v/>
      </c>
      <c r="X27">
        <f>IF(AND('08_MERGED_ANALYSIS'!C27="S1",'08_MERGED_ANALYSIS'!J27&lt;&gt;"",'08_MERGED_ANALYSIS'!J27&gt;=0,'08_MERGED_ANALYSIS'!J27&lt;=3600),'08_MERGED_ANALYSIS'!J27,"")</f>
        <v/>
      </c>
      <c r="Y27">
        <f>IF(AND('08_MERGED_ANALYSIS'!C27="S2",'08_MERGED_ANALYSIS'!J27&lt;&gt;"",'08_MERGED_ANALYSIS'!J27&gt;=0,'08_MERGED_ANALYSIS'!J27&lt;=3600),'08_MERGED_ANALYSIS'!J27,"")</f>
        <v/>
      </c>
      <c r="Z27">
        <f>IF('08_MERGED_ANALYSIS'!C27="S1",'08_MERGED_ANALYSIS'!K27,"")</f>
        <v/>
      </c>
      <c r="AA27">
        <f>IF('08_MERGED_ANALYSIS'!C27="S2",'08_MERGED_ANALYSIS'!K27,"")</f>
        <v/>
      </c>
      <c r="AB27">
        <f>IF('08_MERGED_ANALYSIS'!H27=1,'08_MERGED_ANALYSIS'!G27,"")</f>
        <v/>
      </c>
      <c r="AC27">
        <f>IF('08_MERGED_ANALYSIS'!H27=0,'08_MERGED_ANALYSIS'!G27,"")</f>
        <v/>
      </c>
      <c r="AD27">
        <f>IF('08_MERGED_ANALYSIS'!L27&lt;&gt;"",'08_MERGED_ANALYSIS'!F27,"")</f>
        <v/>
      </c>
      <c r="AE27">
        <f>IF('08_MERGED_ANALYSIS'!L27&lt;&gt;"",IF('08_MERGED_ANALYSIS'!L27,1,0),"")</f>
        <v/>
      </c>
    </row>
    <row r="28">
      <c r="A28" s="4" t="inlineStr">
        <is>
          <t>Scenario</t>
        </is>
      </c>
      <c r="B28" s="4" t="inlineStr">
        <is>
          <t>Median completion_time_sec (clean)</t>
        </is>
      </c>
      <c r="C28" s="4" t="inlineStr">
        <is>
          <t>Mean latency_ms</t>
        </is>
      </c>
      <c r="D28" s="4" t="inlineStr">
        <is>
          <t>Median latency_ms</t>
        </is>
      </c>
      <c r="N28">
        <f>IF('08_MERGED_ANALYSIS'!C28="S1",'08_MERGED_ANALYSIS'!G28,"")</f>
        <v/>
      </c>
      <c r="O28">
        <f>IF('08_MERGED_ANALYSIS'!C28="S2",'08_MERGED_ANALYSIS'!G28,"")</f>
        <v/>
      </c>
      <c r="P28">
        <f>IF('08_MERGED_ANALYSIS'!C28="S1",'08_MERGED_ANALYSIS'!D28,"")</f>
        <v/>
      </c>
      <c r="Q28">
        <f>IF('08_MERGED_ANALYSIS'!C28="S1",'08_MERGED_ANALYSIS'!E28,"")</f>
        <v/>
      </c>
      <c r="R28">
        <f>IF('08_MERGED_ANALYSIS'!C28="S1",'08_MERGED_ANALYSIS'!F28,"")</f>
        <v/>
      </c>
      <c r="S28">
        <f>IF('08_MERGED_ANALYSIS'!C28="S2",'08_MERGED_ANALYSIS'!D28,"")</f>
        <v/>
      </c>
      <c r="T28">
        <f>IF('08_MERGED_ANALYSIS'!C28="S2",'08_MERGED_ANALYSIS'!E28,"")</f>
        <v/>
      </c>
      <c r="U28">
        <f>IF('08_MERGED_ANALYSIS'!C28="S2",'08_MERGED_ANALYSIS'!F28,"")</f>
        <v/>
      </c>
      <c r="V28">
        <f>IF(P28="","",P28+Q28+R28)</f>
        <v/>
      </c>
      <c r="W28">
        <f>IF(S28="","",S28+T28+U28)</f>
        <v/>
      </c>
      <c r="X28">
        <f>IF(AND('08_MERGED_ANALYSIS'!C28="S1",'08_MERGED_ANALYSIS'!J28&lt;&gt;"",'08_MERGED_ANALYSIS'!J28&gt;=0,'08_MERGED_ANALYSIS'!J28&lt;=3600),'08_MERGED_ANALYSIS'!J28,"")</f>
        <v/>
      </c>
      <c r="Y28">
        <f>IF(AND('08_MERGED_ANALYSIS'!C28="S2",'08_MERGED_ANALYSIS'!J28&lt;&gt;"",'08_MERGED_ANALYSIS'!J28&gt;=0,'08_MERGED_ANALYSIS'!J28&lt;=3600),'08_MERGED_ANALYSIS'!J28,"")</f>
        <v/>
      </c>
      <c r="Z28">
        <f>IF('08_MERGED_ANALYSIS'!C28="S1",'08_MERGED_ANALYSIS'!K28,"")</f>
        <v/>
      </c>
      <c r="AA28">
        <f>IF('08_MERGED_ANALYSIS'!C28="S2",'08_MERGED_ANALYSIS'!K28,"")</f>
        <v/>
      </c>
      <c r="AB28">
        <f>IF('08_MERGED_ANALYSIS'!H28=1,'08_MERGED_ANALYSIS'!G28,"")</f>
        <v/>
      </c>
      <c r="AC28">
        <f>IF('08_MERGED_ANALYSIS'!H28=0,'08_MERGED_ANALYSIS'!G28,"")</f>
        <v/>
      </c>
      <c r="AD28">
        <f>IF('08_MERGED_ANALYSIS'!L28&lt;&gt;"",'08_MERGED_ANALYSIS'!F28,"")</f>
        <v/>
      </c>
      <c r="AE28">
        <f>IF('08_MERGED_ANALYSIS'!L28&lt;&gt;"",IF('08_MERGED_ANALYSIS'!L28,1,0),"")</f>
        <v/>
      </c>
    </row>
    <row r="29">
      <c r="A29" t="inlineStr">
        <is>
          <t>S1</t>
        </is>
      </c>
      <c r="B29">
        <f>MEDIAN(X2:X44)</f>
        <v/>
      </c>
      <c r="C29">
        <f>AVERAGE(Z2:Z44)</f>
        <v/>
      </c>
      <c r="D29">
        <f>MEDIAN(Z2:Z44)</f>
        <v/>
      </c>
      <c r="N29">
        <f>IF('08_MERGED_ANALYSIS'!C29="S1",'08_MERGED_ANALYSIS'!G29,"")</f>
        <v/>
      </c>
      <c r="O29">
        <f>IF('08_MERGED_ANALYSIS'!C29="S2",'08_MERGED_ANALYSIS'!G29,"")</f>
        <v/>
      </c>
      <c r="P29">
        <f>IF('08_MERGED_ANALYSIS'!C29="S1",'08_MERGED_ANALYSIS'!D29,"")</f>
        <v/>
      </c>
      <c r="Q29">
        <f>IF('08_MERGED_ANALYSIS'!C29="S1",'08_MERGED_ANALYSIS'!E29,"")</f>
        <v/>
      </c>
      <c r="R29">
        <f>IF('08_MERGED_ANALYSIS'!C29="S1",'08_MERGED_ANALYSIS'!F29,"")</f>
        <v/>
      </c>
      <c r="S29">
        <f>IF('08_MERGED_ANALYSIS'!C29="S2",'08_MERGED_ANALYSIS'!D29,"")</f>
        <v/>
      </c>
      <c r="T29">
        <f>IF('08_MERGED_ANALYSIS'!C29="S2",'08_MERGED_ANALYSIS'!E29,"")</f>
        <v/>
      </c>
      <c r="U29">
        <f>IF('08_MERGED_ANALYSIS'!C29="S2",'08_MERGED_ANALYSIS'!F29,"")</f>
        <v/>
      </c>
      <c r="V29">
        <f>IF(P29="","",P29+Q29+R29)</f>
        <v/>
      </c>
      <c r="W29">
        <f>IF(S29="","",S29+T29+U29)</f>
        <v/>
      </c>
      <c r="X29">
        <f>IF(AND('08_MERGED_ANALYSIS'!C29="S1",'08_MERGED_ANALYSIS'!J29&lt;&gt;"",'08_MERGED_ANALYSIS'!J29&gt;=0,'08_MERGED_ANALYSIS'!J29&lt;=3600),'08_MERGED_ANALYSIS'!J29,"")</f>
        <v/>
      </c>
      <c r="Y29">
        <f>IF(AND('08_MERGED_ANALYSIS'!C29="S2",'08_MERGED_ANALYSIS'!J29&lt;&gt;"",'08_MERGED_ANALYSIS'!J29&gt;=0,'08_MERGED_ANALYSIS'!J29&lt;=3600),'08_MERGED_ANALYSIS'!J29,"")</f>
        <v/>
      </c>
      <c r="Z29">
        <f>IF('08_MERGED_ANALYSIS'!C29="S1",'08_MERGED_ANALYSIS'!K29,"")</f>
        <v/>
      </c>
      <c r="AA29">
        <f>IF('08_MERGED_ANALYSIS'!C29="S2",'08_MERGED_ANALYSIS'!K29,"")</f>
        <v/>
      </c>
      <c r="AB29">
        <f>IF('08_MERGED_ANALYSIS'!H29=1,'08_MERGED_ANALYSIS'!G29,"")</f>
        <v/>
      </c>
      <c r="AC29">
        <f>IF('08_MERGED_ANALYSIS'!H29=0,'08_MERGED_ANALYSIS'!G29,"")</f>
        <v/>
      </c>
      <c r="AD29">
        <f>IF('08_MERGED_ANALYSIS'!L29&lt;&gt;"",'08_MERGED_ANALYSIS'!F29,"")</f>
        <v/>
      </c>
      <c r="AE29">
        <f>IF('08_MERGED_ANALYSIS'!L29&lt;&gt;"",IF('08_MERGED_ANALYSIS'!L29,1,0),"")</f>
        <v/>
      </c>
    </row>
    <row r="30">
      <c r="A30" t="inlineStr">
        <is>
          <t>S2</t>
        </is>
      </c>
      <c r="B30">
        <f>MEDIAN(Y2:Y44)</f>
        <v/>
      </c>
      <c r="C30">
        <f>AVERAGE(AA2:AA44)</f>
        <v/>
      </c>
      <c r="D30">
        <f>MEDIAN(AA2:AA44)</f>
        <v/>
      </c>
      <c r="N30">
        <f>IF('08_MERGED_ANALYSIS'!C30="S1",'08_MERGED_ANALYSIS'!G30,"")</f>
        <v/>
      </c>
      <c r="O30">
        <f>IF('08_MERGED_ANALYSIS'!C30="S2",'08_MERGED_ANALYSIS'!G30,"")</f>
        <v/>
      </c>
      <c r="P30">
        <f>IF('08_MERGED_ANALYSIS'!C30="S1",'08_MERGED_ANALYSIS'!D30,"")</f>
        <v/>
      </c>
      <c r="Q30">
        <f>IF('08_MERGED_ANALYSIS'!C30="S1",'08_MERGED_ANALYSIS'!E30,"")</f>
        <v/>
      </c>
      <c r="R30">
        <f>IF('08_MERGED_ANALYSIS'!C30="S1",'08_MERGED_ANALYSIS'!F30,"")</f>
        <v/>
      </c>
      <c r="S30">
        <f>IF('08_MERGED_ANALYSIS'!C30="S2",'08_MERGED_ANALYSIS'!D30,"")</f>
        <v/>
      </c>
      <c r="T30">
        <f>IF('08_MERGED_ANALYSIS'!C30="S2",'08_MERGED_ANALYSIS'!E30,"")</f>
        <v/>
      </c>
      <c r="U30">
        <f>IF('08_MERGED_ANALYSIS'!C30="S2",'08_MERGED_ANALYSIS'!F30,"")</f>
        <v/>
      </c>
      <c r="V30">
        <f>IF(P30="","",P30+Q30+R30)</f>
        <v/>
      </c>
      <c r="W30">
        <f>IF(S30="","",S30+T30+U30)</f>
        <v/>
      </c>
      <c r="X30">
        <f>IF(AND('08_MERGED_ANALYSIS'!C30="S1",'08_MERGED_ANALYSIS'!J30&lt;&gt;"",'08_MERGED_ANALYSIS'!J30&gt;=0,'08_MERGED_ANALYSIS'!J30&lt;=3600),'08_MERGED_ANALYSIS'!J30,"")</f>
        <v/>
      </c>
      <c r="Y30">
        <f>IF(AND('08_MERGED_ANALYSIS'!C30="S2",'08_MERGED_ANALYSIS'!J30&lt;&gt;"",'08_MERGED_ANALYSIS'!J30&gt;=0,'08_MERGED_ANALYSIS'!J30&lt;=3600),'08_MERGED_ANALYSIS'!J30,"")</f>
        <v/>
      </c>
      <c r="Z30">
        <f>IF('08_MERGED_ANALYSIS'!C30="S1",'08_MERGED_ANALYSIS'!K30,"")</f>
        <v/>
      </c>
      <c r="AA30">
        <f>IF('08_MERGED_ANALYSIS'!C30="S2",'08_MERGED_ANALYSIS'!K30,"")</f>
        <v/>
      </c>
      <c r="AB30">
        <f>IF('08_MERGED_ANALYSIS'!H30=1,'08_MERGED_ANALYSIS'!G30,"")</f>
        <v/>
      </c>
      <c r="AC30">
        <f>IF('08_MERGED_ANALYSIS'!H30=0,'08_MERGED_ANALYSIS'!G30,"")</f>
        <v/>
      </c>
      <c r="AD30">
        <f>IF('08_MERGED_ANALYSIS'!L30&lt;&gt;"",'08_MERGED_ANALYSIS'!F30,"")</f>
        <v/>
      </c>
      <c r="AE30">
        <f>IF('08_MERGED_ANALYSIS'!L30&lt;&gt;"",IF('08_MERGED_ANALYSIS'!L30,1,0),"")</f>
        <v/>
      </c>
    </row>
    <row r="31">
      <c r="N31">
        <f>IF('08_MERGED_ANALYSIS'!C31="S1",'08_MERGED_ANALYSIS'!G31,"")</f>
        <v/>
      </c>
      <c r="O31">
        <f>IF('08_MERGED_ANALYSIS'!C31="S2",'08_MERGED_ANALYSIS'!G31,"")</f>
        <v/>
      </c>
      <c r="P31">
        <f>IF('08_MERGED_ANALYSIS'!C31="S1",'08_MERGED_ANALYSIS'!D31,"")</f>
        <v/>
      </c>
      <c r="Q31">
        <f>IF('08_MERGED_ANALYSIS'!C31="S1",'08_MERGED_ANALYSIS'!E31,"")</f>
        <v/>
      </c>
      <c r="R31">
        <f>IF('08_MERGED_ANALYSIS'!C31="S1",'08_MERGED_ANALYSIS'!F31,"")</f>
        <v/>
      </c>
      <c r="S31">
        <f>IF('08_MERGED_ANALYSIS'!C31="S2",'08_MERGED_ANALYSIS'!D31,"")</f>
        <v/>
      </c>
      <c r="T31">
        <f>IF('08_MERGED_ANALYSIS'!C31="S2",'08_MERGED_ANALYSIS'!E31,"")</f>
        <v/>
      </c>
      <c r="U31">
        <f>IF('08_MERGED_ANALYSIS'!C31="S2",'08_MERGED_ANALYSIS'!F31,"")</f>
        <v/>
      </c>
      <c r="V31">
        <f>IF(P31="","",P31+Q31+R31)</f>
        <v/>
      </c>
      <c r="W31">
        <f>IF(S31="","",S31+T31+U31)</f>
        <v/>
      </c>
      <c r="X31">
        <f>IF(AND('08_MERGED_ANALYSIS'!C31="S1",'08_MERGED_ANALYSIS'!J31&lt;&gt;"",'08_MERGED_ANALYSIS'!J31&gt;=0,'08_MERGED_ANALYSIS'!J31&lt;=3600),'08_MERGED_ANALYSIS'!J31,"")</f>
        <v/>
      </c>
      <c r="Y31">
        <f>IF(AND('08_MERGED_ANALYSIS'!C31="S2",'08_MERGED_ANALYSIS'!J31&lt;&gt;"",'08_MERGED_ANALYSIS'!J31&gt;=0,'08_MERGED_ANALYSIS'!J31&lt;=3600),'08_MERGED_ANALYSIS'!J31,"")</f>
        <v/>
      </c>
      <c r="Z31">
        <f>IF('08_MERGED_ANALYSIS'!C31="S1",'08_MERGED_ANALYSIS'!K31,"")</f>
        <v/>
      </c>
      <c r="AA31">
        <f>IF('08_MERGED_ANALYSIS'!C31="S2",'08_MERGED_ANALYSIS'!K31,"")</f>
        <v/>
      </c>
      <c r="AB31">
        <f>IF('08_MERGED_ANALYSIS'!H31=1,'08_MERGED_ANALYSIS'!G31,"")</f>
        <v/>
      </c>
      <c r="AC31">
        <f>IF('08_MERGED_ANALYSIS'!H31=0,'08_MERGED_ANALYSIS'!G31,"")</f>
        <v/>
      </c>
      <c r="AD31">
        <f>IF('08_MERGED_ANALYSIS'!L31&lt;&gt;"",'08_MERGED_ANALYSIS'!F31,"")</f>
        <v/>
      </c>
      <c r="AE31">
        <f>IF('08_MERGED_ANALYSIS'!L31&lt;&gt;"",IF('08_MERGED_ANALYSIS'!L31,1,0),"")</f>
        <v/>
      </c>
    </row>
    <row r="32">
      <c r="A32" s="5" t="inlineStr">
        <is>
          <t>E. ASQ Mean by Task Success Group (subjective vs. objective)</t>
        </is>
      </c>
      <c r="N32">
        <f>IF('08_MERGED_ANALYSIS'!C32="S1",'08_MERGED_ANALYSIS'!G32,"")</f>
        <v/>
      </c>
      <c r="O32">
        <f>IF('08_MERGED_ANALYSIS'!C32="S2",'08_MERGED_ANALYSIS'!G32,"")</f>
        <v/>
      </c>
      <c r="P32">
        <f>IF('08_MERGED_ANALYSIS'!C32="S1",'08_MERGED_ANALYSIS'!D32,"")</f>
        <v/>
      </c>
      <c r="Q32">
        <f>IF('08_MERGED_ANALYSIS'!C32="S1",'08_MERGED_ANALYSIS'!E32,"")</f>
        <v/>
      </c>
      <c r="R32">
        <f>IF('08_MERGED_ANALYSIS'!C32="S1",'08_MERGED_ANALYSIS'!F32,"")</f>
        <v/>
      </c>
      <c r="S32">
        <f>IF('08_MERGED_ANALYSIS'!C32="S2",'08_MERGED_ANALYSIS'!D32,"")</f>
        <v/>
      </c>
      <c r="T32">
        <f>IF('08_MERGED_ANALYSIS'!C32="S2",'08_MERGED_ANALYSIS'!E32,"")</f>
        <v/>
      </c>
      <c r="U32">
        <f>IF('08_MERGED_ANALYSIS'!C32="S2",'08_MERGED_ANALYSIS'!F32,"")</f>
        <v/>
      </c>
      <c r="V32">
        <f>IF(P32="","",P32+Q32+R32)</f>
        <v/>
      </c>
      <c r="W32">
        <f>IF(S32="","",S32+T32+U32)</f>
        <v/>
      </c>
      <c r="X32">
        <f>IF(AND('08_MERGED_ANALYSIS'!C32="S1",'08_MERGED_ANALYSIS'!J32&lt;&gt;"",'08_MERGED_ANALYSIS'!J32&gt;=0,'08_MERGED_ANALYSIS'!J32&lt;=3600),'08_MERGED_ANALYSIS'!J32,"")</f>
        <v/>
      </c>
      <c r="Y32">
        <f>IF(AND('08_MERGED_ANALYSIS'!C32="S2",'08_MERGED_ANALYSIS'!J32&lt;&gt;"",'08_MERGED_ANALYSIS'!J32&gt;=0,'08_MERGED_ANALYSIS'!J32&lt;=3600),'08_MERGED_ANALYSIS'!J32,"")</f>
        <v/>
      </c>
      <c r="Z32">
        <f>IF('08_MERGED_ANALYSIS'!C32="S1",'08_MERGED_ANALYSIS'!K32,"")</f>
        <v/>
      </c>
      <c r="AA32">
        <f>IF('08_MERGED_ANALYSIS'!C32="S2",'08_MERGED_ANALYSIS'!K32,"")</f>
        <v/>
      </c>
      <c r="AB32">
        <f>IF('08_MERGED_ANALYSIS'!H32=1,'08_MERGED_ANALYSIS'!G32,"")</f>
        <v/>
      </c>
      <c r="AC32">
        <f>IF('08_MERGED_ANALYSIS'!H32=0,'08_MERGED_ANALYSIS'!G32,"")</f>
        <v/>
      </c>
      <c r="AD32">
        <f>IF('08_MERGED_ANALYSIS'!L32&lt;&gt;"",'08_MERGED_ANALYSIS'!F32,"")</f>
        <v/>
      </c>
      <c r="AE32">
        <f>IF('08_MERGED_ANALYSIS'!L32&lt;&gt;"",IF('08_MERGED_ANALYSIS'!L32,1,0),"")</f>
        <v/>
      </c>
    </row>
    <row r="33">
      <c r="N33">
        <f>IF('08_MERGED_ANALYSIS'!C33="S1",'08_MERGED_ANALYSIS'!G33,"")</f>
        <v/>
      </c>
      <c r="O33">
        <f>IF('08_MERGED_ANALYSIS'!C33="S2",'08_MERGED_ANALYSIS'!G33,"")</f>
        <v/>
      </c>
      <c r="P33">
        <f>IF('08_MERGED_ANALYSIS'!C33="S1",'08_MERGED_ANALYSIS'!D33,"")</f>
        <v/>
      </c>
      <c r="Q33">
        <f>IF('08_MERGED_ANALYSIS'!C33="S1",'08_MERGED_ANALYSIS'!E33,"")</f>
        <v/>
      </c>
      <c r="R33">
        <f>IF('08_MERGED_ANALYSIS'!C33="S1",'08_MERGED_ANALYSIS'!F33,"")</f>
        <v/>
      </c>
      <c r="S33">
        <f>IF('08_MERGED_ANALYSIS'!C33="S2",'08_MERGED_ANALYSIS'!D33,"")</f>
        <v/>
      </c>
      <c r="T33">
        <f>IF('08_MERGED_ANALYSIS'!C33="S2",'08_MERGED_ANALYSIS'!E33,"")</f>
        <v/>
      </c>
      <c r="U33">
        <f>IF('08_MERGED_ANALYSIS'!C33="S2",'08_MERGED_ANALYSIS'!F33,"")</f>
        <v/>
      </c>
      <c r="V33">
        <f>IF(P33="","",P33+Q33+R33)</f>
        <v/>
      </c>
      <c r="W33">
        <f>IF(S33="","",S33+T33+U33)</f>
        <v/>
      </c>
      <c r="X33">
        <f>IF(AND('08_MERGED_ANALYSIS'!C33="S1",'08_MERGED_ANALYSIS'!J33&lt;&gt;"",'08_MERGED_ANALYSIS'!J33&gt;=0,'08_MERGED_ANALYSIS'!J33&lt;=3600),'08_MERGED_ANALYSIS'!J33,"")</f>
        <v/>
      </c>
      <c r="Y33">
        <f>IF(AND('08_MERGED_ANALYSIS'!C33="S2",'08_MERGED_ANALYSIS'!J33&lt;&gt;"",'08_MERGED_ANALYSIS'!J33&gt;=0,'08_MERGED_ANALYSIS'!J33&lt;=3600),'08_MERGED_ANALYSIS'!J33,"")</f>
        <v/>
      </c>
      <c r="Z33">
        <f>IF('08_MERGED_ANALYSIS'!C33="S1",'08_MERGED_ANALYSIS'!K33,"")</f>
        <v/>
      </c>
      <c r="AA33">
        <f>IF('08_MERGED_ANALYSIS'!C33="S2",'08_MERGED_ANALYSIS'!K33,"")</f>
        <v/>
      </c>
      <c r="AB33">
        <f>IF('08_MERGED_ANALYSIS'!H33=1,'08_MERGED_ANALYSIS'!G33,"")</f>
        <v/>
      </c>
      <c r="AC33">
        <f>IF('08_MERGED_ANALYSIS'!H33=0,'08_MERGED_ANALYSIS'!G33,"")</f>
        <v/>
      </c>
      <c r="AD33">
        <f>IF('08_MERGED_ANALYSIS'!L33&lt;&gt;"",'08_MERGED_ANALYSIS'!F33,"")</f>
        <v/>
      </c>
      <c r="AE33">
        <f>IF('08_MERGED_ANALYSIS'!L33&lt;&gt;"",IF('08_MERGED_ANALYSIS'!L33,1,0),"")</f>
        <v/>
      </c>
    </row>
    <row r="34">
      <c r="A34" s="4" t="inlineStr">
        <is>
          <t>Group</t>
        </is>
      </c>
      <c r="B34" s="4" t="inlineStr">
        <is>
          <t>n</t>
        </is>
      </c>
      <c r="C34" s="4" t="inlineStr">
        <is>
          <t>Mean ASQ</t>
        </is>
      </c>
      <c r="D34" s="4" t="inlineStr">
        <is>
          <t>SD ASQ</t>
        </is>
      </c>
      <c r="N34">
        <f>IF('08_MERGED_ANALYSIS'!C34="S1",'08_MERGED_ANALYSIS'!G34,"")</f>
        <v/>
      </c>
      <c r="O34">
        <f>IF('08_MERGED_ANALYSIS'!C34="S2",'08_MERGED_ANALYSIS'!G34,"")</f>
        <v/>
      </c>
      <c r="P34">
        <f>IF('08_MERGED_ANALYSIS'!C34="S1",'08_MERGED_ANALYSIS'!D34,"")</f>
        <v/>
      </c>
      <c r="Q34">
        <f>IF('08_MERGED_ANALYSIS'!C34="S1",'08_MERGED_ANALYSIS'!E34,"")</f>
        <v/>
      </c>
      <c r="R34">
        <f>IF('08_MERGED_ANALYSIS'!C34="S1",'08_MERGED_ANALYSIS'!F34,"")</f>
        <v/>
      </c>
      <c r="S34">
        <f>IF('08_MERGED_ANALYSIS'!C34="S2",'08_MERGED_ANALYSIS'!D34,"")</f>
        <v/>
      </c>
      <c r="T34">
        <f>IF('08_MERGED_ANALYSIS'!C34="S2",'08_MERGED_ANALYSIS'!E34,"")</f>
        <v/>
      </c>
      <c r="U34">
        <f>IF('08_MERGED_ANALYSIS'!C34="S2",'08_MERGED_ANALYSIS'!F34,"")</f>
        <v/>
      </c>
      <c r="V34">
        <f>IF(P34="","",P34+Q34+R34)</f>
        <v/>
      </c>
      <c r="W34">
        <f>IF(S34="","",S34+T34+U34)</f>
        <v/>
      </c>
      <c r="X34">
        <f>IF(AND('08_MERGED_ANALYSIS'!C34="S1",'08_MERGED_ANALYSIS'!J34&lt;&gt;"",'08_MERGED_ANALYSIS'!J34&gt;=0,'08_MERGED_ANALYSIS'!J34&lt;=3600),'08_MERGED_ANALYSIS'!J34,"")</f>
        <v/>
      </c>
      <c r="Y34">
        <f>IF(AND('08_MERGED_ANALYSIS'!C34="S2",'08_MERGED_ANALYSIS'!J34&lt;&gt;"",'08_MERGED_ANALYSIS'!J34&gt;=0,'08_MERGED_ANALYSIS'!J34&lt;=3600),'08_MERGED_ANALYSIS'!J34,"")</f>
        <v/>
      </c>
      <c r="Z34">
        <f>IF('08_MERGED_ANALYSIS'!C34="S1",'08_MERGED_ANALYSIS'!K34,"")</f>
        <v/>
      </c>
      <c r="AA34">
        <f>IF('08_MERGED_ANALYSIS'!C34="S2",'08_MERGED_ANALYSIS'!K34,"")</f>
        <v/>
      </c>
      <c r="AB34">
        <f>IF('08_MERGED_ANALYSIS'!H34=1,'08_MERGED_ANALYSIS'!G34,"")</f>
        <v/>
      </c>
      <c r="AC34">
        <f>IF('08_MERGED_ANALYSIS'!H34=0,'08_MERGED_ANALYSIS'!G34,"")</f>
        <v/>
      </c>
      <c r="AD34">
        <f>IF('08_MERGED_ANALYSIS'!L34&lt;&gt;"",'08_MERGED_ANALYSIS'!F34,"")</f>
        <v/>
      </c>
      <c r="AE34">
        <f>IF('08_MERGED_ANALYSIS'!L34&lt;&gt;"",IF('08_MERGED_ANALYSIS'!L34,1,0),"")</f>
        <v/>
      </c>
    </row>
    <row r="35">
      <c r="A35" t="inlineStr">
        <is>
          <t>task_success = 1</t>
        </is>
      </c>
      <c r="B35">
        <f>COUNT(AB2:AB44)</f>
        <v/>
      </c>
      <c r="C35">
        <f>AVERAGE(AB2:AB44)</f>
        <v/>
      </c>
      <c r="D35">
        <f>STDEV.S(AB2:AB44)</f>
        <v/>
      </c>
      <c r="N35">
        <f>IF('08_MERGED_ANALYSIS'!C35="S1",'08_MERGED_ANALYSIS'!G35,"")</f>
        <v/>
      </c>
      <c r="O35">
        <f>IF('08_MERGED_ANALYSIS'!C35="S2",'08_MERGED_ANALYSIS'!G35,"")</f>
        <v/>
      </c>
      <c r="P35">
        <f>IF('08_MERGED_ANALYSIS'!C35="S1",'08_MERGED_ANALYSIS'!D35,"")</f>
        <v/>
      </c>
      <c r="Q35">
        <f>IF('08_MERGED_ANALYSIS'!C35="S1",'08_MERGED_ANALYSIS'!E35,"")</f>
        <v/>
      </c>
      <c r="R35">
        <f>IF('08_MERGED_ANALYSIS'!C35="S1",'08_MERGED_ANALYSIS'!F35,"")</f>
        <v/>
      </c>
      <c r="S35">
        <f>IF('08_MERGED_ANALYSIS'!C35="S2",'08_MERGED_ANALYSIS'!D35,"")</f>
        <v/>
      </c>
      <c r="T35">
        <f>IF('08_MERGED_ANALYSIS'!C35="S2",'08_MERGED_ANALYSIS'!E35,"")</f>
        <v/>
      </c>
      <c r="U35">
        <f>IF('08_MERGED_ANALYSIS'!C35="S2",'08_MERGED_ANALYSIS'!F35,"")</f>
        <v/>
      </c>
      <c r="V35">
        <f>IF(P35="","",P35+Q35+R35)</f>
        <v/>
      </c>
      <c r="W35">
        <f>IF(S35="","",S35+T35+U35)</f>
        <v/>
      </c>
      <c r="X35">
        <f>IF(AND('08_MERGED_ANALYSIS'!C35="S1",'08_MERGED_ANALYSIS'!J35&lt;&gt;"",'08_MERGED_ANALYSIS'!J35&gt;=0,'08_MERGED_ANALYSIS'!J35&lt;=3600),'08_MERGED_ANALYSIS'!J35,"")</f>
        <v/>
      </c>
      <c r="Y35">
        <f>IF(AND('08_MERGED_ANALYSIS'!C35="S2",'08_MERGED_ANALYSIS'!J35&lt;&gt;"",'08_MERGED_ANALYSIS'!J35&gt;=0,'08_MERGED_ANALYSIS'!J35&lt;=3600),'08_MERGED_ANALYSIS'!J35,"")</f>
        <v/>
      </c>
      <c r="Z35">
        <f>IF('08_MERGED_ANALYSIS'!C35="S1",'08_MERGED_ANALYSIS'!K35,"")</f>
        <v/>
      </c>
      <c r="AA35">
        <f>IF('08_MERGED_ANALYSIS'!C35="S2",'08_MERGED_ANALYSIS'!K35,"")</f>
        <v/>
      </c>
      <c r="AB35">
        <f>IF('08_MERGED_ANALYSIS'!H35=1,'08_MERGED_ANALYSIS'!G35,"")</f>
        <v/>
      </c>
      <c r="AC35">
        <f>IF('08_MERGED_ANALYSIS'!H35=0,'08_MERGED_ANALYSIS'!G35,"")</f>
        <v/>
      </c>
      <c r="AD35">
        <f>IF('08_MERGED_ANALYSIS'!L35&lt;&gt;"",'08_MERGED_ANALYSIS'!F35,"")</f>
        <v/>
      </c>
      <c r="AE35">
        <f>IF('08_MERGED_ANALYSIS'!L35&lt;&gt;"",IF('08_MERGED_ANALYSIS'!L35,1,0),"")</f>
        <v/>
      </c>
    </row>
    <row r="36">
      <c r="A36" t="inlineStr">
        <is>
          <t>task_success = 0</t>
        </is>
      </c>
      <c r="B36">
        <f>COUNT(AC2:AC44)</f>
        <v/>
      </c>
      <c r="C36">
        <f>AVERAGE(AC2:AC44)</f>
        <v/>
      </c>
      <c r="D36">
        <f>STDEV.S(AC2:AC44)</f>
        <v/>
      </c>
      <c r="N36">
        <f>IF('08_MERGED_ANALYSIS'!C36="S1",'08_MERGED_ANALYSIS'!G36,"")</f>
        <v/>
      </c>
      <c r="O36">
        <f>IF('08_MERGED_ANALYSIS'!C36="S2",'08_MERGED_ANALYSIS'!G36,"")</f>
        <v/>
      </c>
      <c r="P36">
        <f>IF('08_MERGED_ANALYSIS'!C36="S1",'08_MERGED_ANALYSIS'!D36,"")</f>
        <v/>
      </c>
      <c r="Q36">
        <f>IF('08_MERGED_ANALYSIS'!C36="S1",'08_MERGED_ANALYSIS'!E36,"")</f>
        <v/>
      </c>
      <c r="R36">
        <f>IF('08_MERGED_ANALYSIS'!C36="S1",'08_MERGED_ANALYSIS'!F36,"")</f>
        <v/>
      </c>
      <c r="S36">
        <f>IF('08_MERGED_ANALYSIS'!C36="S2",'08_MERGED_ANALYSIS'!D36,"")</f>
        <v/>
      </c>
      <c r="T36">
        <f>IF('08_MERGED_ANALYSIS'!C36="S2",'08_MERGED_ANALYSIS'!E36,"")</f>
        <v/>
      </c>
      <c r="U36">
        <f>IF('08_MERGED_ANALYSIS'!C36="S2",'08_MERGED_ANALYSIS'!F36,"")</f>
        <v/>
      </c>
      <c r="V36">
        <f>IF(P36="","",P36+Q36+R36)</f>
        <v/>
      </c>
      <c r="W36">
        <f>IF(S36="","",S36+T36+U36)</f>
        <v/>
      </c>
      <c r="X36">
        <f>IF(AND('08_MERGED_ANALYSIS'!C36="S1",'08_MERGED_ANALYSIS'!J36&lt;&gt;"",'08_MERGED_ANALYSIS'!J36&gt;=0,'08_MERGED_ANALYSIS'!J36&lt;=3600),'08_MERGED_ANALYSIS'!J36,"")</f>
        <v/>
      </c>
      <c r="Y36">
        <f>IF(AND('08_MERGED_ANALYSIS'!C36="S2",'08_MERGED_ANALYSIS'!J36&lt;&gt;"",'08_MERGED_ANALYSIS'!J36&gt;=0,'08_MERGED_ANALYSIS'!J36&lt;=3600),'08_MERGED_ANALYSIS'!J36,"")</f>
        <v/>
      </c>
      <c r="Z36">
        <f>IF('08_MERGED_ANALYSIS'!C36="S1",'08_MERGED_ANALYSIS'!K36,"")</f>
        <v/>
      </c>
      <c r="AA36">
        <f>IF('08_MERGED_ANALYSIS'!C36="S2",'08_MERGED_ANALYSIS'!K36,"")</f>
        <v/>
      </c>
      <c r="AB36">
        <f>IF('08_MERGED_ANALYSIS'!H36=1,'08_MERGED_ANALYSIS'!G36,"")</f>
        <v/>
      </c>
      <c r="AC36">
        <f>IF('08_MERGED_ANALYSIS'!H36=0,'08_MERGED_ANALYSIS'!G36,"")</f>
        <v/>
      </c>
      <c r="AD36">
        <f>IF('08_MERGED_ANALYSIS'!L36&lt;&gt;"",'08_MERGED_ANALYSIS'!F36,"")</f>
        <v/>
      </c>
      <c r="AE36">
        <f>IF('08_MERGED_ANALYSIS'!L36&lt;&gt;"",IF('08_MERGED_ANALYSIS'!L36,1,0),"")</f>
        <v/>
      </c>
    </row>
    <row r="37">
      <c r="N37">
        <f>IF('08_MERGED_ANALYSIS'!C37="S1",'08_MERGED_ANALYSIS'!G37,"")</f>
        <v/>
      </c>
      <c r="O37">
        <f>IF('08_MERGED_ANALYSIS'!C37="S2",'08_MERGED_ANALYSIS'!G37,"")</f>
        <v/>
      </c>
      <c r="P37">
        <f>IF('08_MERGED_ANALYSIS'!C37="S1",'08_MERGED_ANALYSIS'!D37,"")</f>
        <v/>
      </c>
      <c r="Q37">
        <f>IF('08_MERGED_ANALYSIS'!C37="S1",'08_MERGED_ANALYSIS'!E37,"")</f>
        <v/>
      </c>
      <c r="R37">
        <f>IF('08_MERGED_ANALYSIS'!C37="S1",'08_MERGED_ANALYSIS'!F37,"")</f>
        <v/>
      </c>
      <c r="S37">
        <f>IF('08_MERGED_ANALYSIS'!C37="S2",'08_MERGED_ANALYSIS'!D37,"")</f>
        <v/>
      </c>
      <c r="T37">
        <f>IF('08_MERGED_ANALYSIS'!C37="S2",'08_MERGED_ANALYSIS'!E37,"")</f>
        <v/>
      </c>
      <c r="U37">
        <f>IF('08_MERGED_ANALYSIS'!C37="S2",'08_MERGED_ANALYSIS'!F37,"")</f>
        <v/>
      </c>
      <c r="V37">
        <f>IF(P37="","",P37+Q37+R37)</f>
        <v/>
      </c>
      <c r="W37">
        <f>IF(S37="","",S37+T37+U37)</f>
        <v/>
      </c>
      <c r="X37">
        <f>IF(AND('08_MERGED_ANALYSIS'!C37="S1",'08_MERGED_ANALYSIS'!J37&lt;&gt;"",'08_MERGED_ANALYSIS'!J37&gt;=0,'08_MERGED_ANALYSIS'!J37&lt;=3600),'08_MERGED_ANALYSIS'!J37,"")</f>
        <v/>
      </c>
      <c r="Y37">
        <f>IF(AND('08_MERGED_ANALYSIS'!C37="S2",'08_MERGED_ANALYSIS'!J37&lt;&gt;"",'08_MERGED_ANALYSIS'!J37&gt;=0,'08_MERGED_ANALYSIS'!J37&lt;=3600),'08_MERGED_ANALYSIS'!J37,"")</f>
        <v/>
      </c>
      <c r="Z37">
        <f>IF('08_MERGED_ANALYSIS'!C37="S1",'08_MERGED_ANALYSIS'!K37,"")</f>
        <v/>
      </c>
      <c r="AA37">
        <f>IF('08_MERGED_ANALYSIS'!C37="S2",'08_MERGED_ANALYSIS'!K37,"")</f>
        <v/>
      </c>
      <c r="AB37">
        <f>IF('08_MERGED_ANALYSIS'!H37=1,'08_MERGED_ANALYSIS'!G37,"")</f>
        <v/>
      </c>
      <c r="AC37">
        <f>IF('08_MERGED_ANALYSIS'!H37=0,'08_MERGED_ANALYSIS'!G37,"")</f>
        <v/>
      </c>
      <c r="AD37">
        <f>IF('08_MERGED_ANALYSIS'!L37&lt;&gt;"",'08_MERGED_ANALYSIS'!F37,"")</f>
        <v/>
      </c>
      <c r="AE37">
        <f>IF('08_MERGED_ANALYSIS'!L37&lt;&gt;"",IF('08_MERGED_ANALYSIS'!L37,1,0),"")</f>
        <v/>
      </c>
    </row>
    <row r="38">
      <c r="A38" s="5" t="inlineStr">
        <is>
          <t>F. Correlations</t>
        </is>
      </c>
      <c r="N38">
        <f>IF('08_MERGED_ANALYSIS'!C38="S1",'08_MERGED_ANALYSIS'!G38,"")</f>
        <v/>
      </c>
      <c r="O38">
        <f>IF('08_MERGED_ANALYSIS'!C38="S2",'08_MERGED_ANALYSIS'!G38,"")</f>
        <v/>
      </c>
      <c r="P38">
        <f>IF('08_MERGED_ANALYSIS'!C38="S1",'08_MERGED_ANALYSIS'!D38,"")</f>
        <v/>
      </c>
      <c r="Q38">
        <f>IF('08_MERGED_ANALYSIS'!C38="S1",'08_MERGED_ANALYSIS'!E38,"")</f>
        <v/>
      </c>
      <c r="R38">
        <f>IF('08_MERGED_ANALYSIS'!C38="S1",'08_MERGED_ANALYSIS'!F38,"")</f>
        <v/>
      </c>
      <c r="S38">
        <f>IF('08_MERGED_ANALYSIS'!C38="S2",'08_MERGED_ANALYSIS'!D38,"")</f>
        <v/>
      </c>
      <c r="T38">
        <f>IF('08_MERGED_ANALYSIS'!C38="S2",'08_MERGED_ANALYSIS'!E38,"")</f>
        <v/>
      </c>
      <c r="U38">
        <f>IF('08_MERGED_ANALYSIS'!C38="S2",'08_MERGED_ANALYSIS'!F38,"")</f>
        <v/>
      </c>
      <c r="V38">
        <f>IF(P38="","",P38+Q38+R38)</f>
        <v/>
      </c>
      <c r="W38">
        <f>IF(S38="","",S38+T38+U38)</f>
        <v/>
      </c>
      <c r="X38">
        <f>IF(AND('08_MERGED_ANALYSIS'!C38="S1",'08_MERGED_ANALYSIS'!J38&lt;&gt;"",'08_MERGED_ANALYSIS'!J38&gt;=0,'08_MERGED_ANALYSIS'!J38&lt;=3600),'08_MERGED_ANALYSIS'!J38,"")</f>
        <v/>
      </c>
      <c r="Y38">
        <f>IF(AND('08_MERGED_ANALYSIS'!C38="S2",'08_MERGED_ANALYSIS'!J38&lt;&gt;"",'08_MERGED_ANALYSIS'!J38&gt;=0,'08_MERGED_ANALYSIS'!J38&lt;=3600),'08_MERGED_ANALYSIS'!J38,"")</f>
        <v/>
      </c>
      <c r="Z38">
        <f>IF('08_MERGED_ANALYSIS'!C38="S1",'08_MERGED_ANALYSIS'!K38,"")</f>
        <v/>
      </c>
      <c r="AA38">
        <f>IF('08_MERGED_ANALYSIS'!C38="S2",'08_MERGED_ANALYSIS'!K38,"")</f>
        <v/>
      </c>
      <c r="AB38">
        <f>IF('08_MERGED_ANALYSIS'!H38=1,'08_MERGED_ANALYSIS'!G38,"")</f>
        <v/>
      </c>
      <c r="AC38">
        <f>IF('08_MERGED_ANALYSIS'!H38=0,'08_MERGED_ANALYSIS'!G38,"")</f>
        <v/>
      </c>
      <c r="AD38">
        <f>IF('08_MERGED_ANALYSIS'!L38&lt;&gt;"",'08_MERGED_ANALYSIS'!F38,"")</f>
        <v/>
      </c>
      <c r="AE38">
        <f>IF('08_MERGED_ANALYSIS'!L38&lt;&gt;"",IF('08_MERGED_ANALYSIS'!L38,1,0),"")</f>
        <v/>
      </c>
    </row>
    <row r="39">
      <c r="N39">
        <f>IF('08_MERGED_ANALYSIS'!C39="S1",'08_MERGED_ANALYSIS'!G39,"")</f>
        <v/>
      </c>
      <c r="O39">
        <f>IF('08_MERGED_ANALYSIS'!C39="S2",'08_MERGED_ANALYSIS'!G39,"")</f>
        <v/>
      </c>
      <c r="P39">
        <f>IF('08_MERGED_ANALYSIS'!C39="S1",'08_MERGED_ANALYSIS'!D39,"")</f>
        <v/>
      </c>
      <c r="Q39">
        <f>IF('08_MERGED_ANALYSIS'!C39="S1",'08_MERGED_ANALYSIS'!E39,"")</f>
        <v/>
      </c>
      <c r="R39">
        <f>IF('08_MERGED_ANALYSIS'!C39="S1",'08_MERGED_ANALYSIS'!F39,"")</f>
        <v/>
      </c>
      <c r="S39">
        <f>IF('08_MERGED_ANALYSIS'!C39="S2",'08_MERGED_ANALYSIS'!D39,"")</f>
        <v/>
      </c>
      <c r="T39">
        <f>IF('08_MERGED_ANALYSIS'!C39="S2",'08_MERGED_ANALYSIS'!E39,"")</f>
        <v/>
      </c>
      <c r="U39">
        <f>IF('08_MERGED_ANALYSIS'!C39="S2",'08_MERGED_ANALYSIS'!F39,"")</f>
        <v/>
      </c>
      <c r="V39">
        <f>IF(P39="","",P39+Q39+R39)</f>
        <v/>
      </c>
      <c r="W39">
        <f>IF(S39="","",S39+T39+U39)</f>
        <v/>
      </c>
      <c r="X39">
        <f>IF(AND('08_MERGED_ANALYSIS'!C39="S1",'08_MERGED_ANALYSIS'!J39&lt;&gt;"",'08_MERGED_ANALYSIS'!J39&gt;=0,'08_MERGED_ANALYSIS'!J39&lt;=3600),'08_MERGED_ANALYSIS'!J39,"")</f>
        <v/>
      </c>
      <c r="Y39">
        <f>IF(AND('08_MERGED_ANALYSIS'!C39="S2",'08_MERGED_ANALYSIS'!J39&lt;&gt;"",'08_MERGED_ANALYSIS'!J39&gt;=0,'08_MERGED_ANALYSIS'!J39&lt;=3600),'08_MERGED_ANALYSIS'!J39,"")</f>
        <v/>
      </c>
      <c r="Z39">
        <f>IF('08_MERGED_ANALYSIS'!C39="S1",'08_MERGED_ANALYSIS'!K39,"")</f>
        <v/>
      </c>
      <c r="AA39">
        <f>IF('08_MERGED_ANALYSIS'!C39="S2",'08_MERGED_ANALYSIS'!K39,"")</f>
        <v/>
      </c>
      <c r="AB39">
        <f>IF('08_MERGED_ANALYSIS'!H39=1,'08_MERGED_ANALYSIS'!G39,"")</f>
        <v/>
      </c>
      <c r="AC39">
        <f>IF('08_MERGED_ANALYSIS'!H39=0,'08_MERGED_ANALYSIS'!G39,"")</f>
        <v/>
      </c>
      <c r="AD39">
        <f>IF('08_MERGED_ANALYSIS'!L39&lt;&gt;"",'08_MERGED_ANALYSIS'!F39,"")</f>
        <v/>
      </c>
      <c r="AE39">
        <f>IF('08_MERGED_ANALYSIS'!L39&lt;&gt;"",IF('08_MERGED_ANALYSIS'!L39,1,0),"")</f>
        <v/>
      </c>
    </row>
    <row r="40">
      <c r="A40" s="4" t="inlineStr">
        <is>
          <t>Pair</t>
        </is>
      </c>
      <c r="B40" s="4" t="inlineStr">
        <is>
          <t>n</t>
        </is>
      </c>
      <c r="C40" s="4" t="inlineStr">
        <is>
          <t>r / rho</t>
        </is>
      </c>
      <c r="D40" s="4" t="inlineStr">
        <is>
          <t>p-value</t>
        </is>
      </c>
      <c r="E40" s="4" t="inlineStr">
        <is>
          <t>method</t>
        </is>
      </c>
      <c r="N40">
        <f>IF('08_MERGED_ANALYSIS'!C40="S1",'08_MERGED_ANALYSIS'!G40,"")</f>
        <v/>
      </c>
      <c r="O40">
        <f>IF('08_MERGED_ANALYSIS'!C40="S2",'08_MERGED_ANALYSIS'!G40,"")</f>
        <v/>
      </c>
      <c r="P40">
        <f>IF('08_MERGED_ANALYSIS'!C40="S1",'08_MERGED_ANALYSIS'!D40,"")</f>
        <v/>
      </c>
      <c r="Q40">
        <f>IF('08_MERGED_ANALYSIS'!C40="S1",'08_MERGED_ANALYSIS'!E40,"")</f>
        <v/>
      </c>
      <c r="R40">
        <f>IF('08_MERGED_ANALYSIS'!C40="S1",'08_MERGED_ANALYSIS'!F40,"")</f>
        <v/>
      </c>
      <c r="S40">
        <f>IF('08_MERGED_ANALYSIS'!C40="S2",'08_MERGED_ANALYSIS'!D40,"")</f>
        <v/>
      </c>
      <c r="T40">
        <f>IF('08_MERGED_ANALYSIS'!C40="S2",'08_MERGED_ANALYSIS'!E40,"")</f>
        <v/>
      </c>
      <c r="U40">
        <f>IF('08_MERGED_ANALYSIS'!C40="S2",'08_MERGED_ANALYSIS'!F40,"")</f>
        <v/>
      </c>
      <c r="V40">
        <f>IF(P40="","",P40+Q40+R40)</f>
        <v/>
      </c>
      <c r="W40">
        <f>IF(S40="","",S40+T40+U40)</f>
        <v/>
      </c>
      <c r="X40">
        <f>IF(AND('08_MERGED_ANALYSIS'!C40="S1",'08_MERGED_ANALYSIS'!J40&lt;&gt;"",'08_MERGED_ANALYSIS'!J40&gt;=0,'08_MERGED_ANALYSIS'!J40&lt;=3600),'08_MERGED_ANALYSIS'!J40,"")</f>
        <v/>
      </c>
      <c r="Y40">
        <f>IF(AND('08_MERGED_ANALYSIS'!C40="S2",'08_MERGED_ANALYSIS'!J40&lt;&gt;"",'08_MERGED_ANALYSIS'!J40&gt;=0,'08_MERGED_ANALYSIS'!J40&lt;=3600),'08_MERGED_ANALYSIS'!J40,"")</f>
        <v/>
      </c>
      <c r="Z40">
        <f>IF('08_MERGED_ANALYSIS'!C40="S1",'08_MERGED_ANALYSIS'!K40,"")</f>
        <v/>
      </c>
      <c r="AA40">
        <f>IF('08_MERGED_ANALYSIS'!C40="S2",'08_MERGED_ANALYSIS'!K40,"")</f>
        <v/>
      </c>
      <c r="AB40">
        <f>IF('08_MERGED_ANALYSIS'!H40=1,'08_MERGED_ANALYSIS'!G40,"")</f>
        <v/>
      </c>
      <c r="AC40">
        <f>IF('08_MERGED_ANALYSIS'!H40=0,'08_MERGED_ANALYSIS'!G40,"")</f>
        <v/>
      </c>
      <c r="AD40">
        <f>IF('08_MERGED_ANALYSIS'!L40&lt;&gt;"",'08_MERGED_ANALYSIS'!F40,"")</f>
        <v/>
      </c>
      <c r="AE40">
        <f>IF('08_MERGED_ANALYSIS'!L40&lt;&gt;"",IF('08_MERGED_ANALYSIS'!L40,1,0),"")</f>
        <v/>
      </c>
    </row>
    <row r="41">
      <c r="A41" t="inlineStr">
        <is>
          <t>ASQ mean vs latency_ms (Pearson, live formula)</t>
        </is>
      </c>
      <c r="B41">
        <f>COUNT('08_MERGED_ANALYSIS'!$K$2:$K$44)</f>
        <v/>
      </c>
      <c r="C41">
        <f>CORREL('08_MERGED_ANALYSIS'!$G$2:$G$44,'08_MERGED_ANALYSIS'!$K$2:$K$44)</f>
        <v/>
      </c>
      <c r="D41">
        <f>T.DIST.2T(ABS(C41)*SQRT(B41-2)/SQRT(1-C41^2),B41-2)</f>
        <v/>
      </c>
      <c r="E41" t="inlineStr">
        <is>
          <t>Pearson (live formula)</t>
        </is>
      </c>
      <c r="N41">
        <f>IF('08_MERGED_ANALYSIS'!C41="S1",'08_MERGED_ANALYSIS'!G41,"")</f>
        <v/>
      </c>
      <c r="O41">
        <f>IF('08_MERGED_ANALYSIS'!C41="S2",'08_MERGED_ANALYSIS'!G41,"")</f>
        <v/>
      </c>
      <c r="P41">
        <f>IF('08_MERGED_ANALYSIS'!C41="S1",'08_MERGED_ANALYSIS'!D41,"")</f>
        <v/>
      </c>
      <c r="Q41">
        <f>IF('08_MERGED_ANALYSIS'!C41="S1",'08_MERGED_ANALYSIS'!E41,"")</f>
        <v/>
      </c>
      <c r="R41">
        <f>IF('08_MERGED_ANALYSIS'!C41="S1",'08_MERGED_ANALYSIS'!F41,"")</f>
        <v/>
      </c>
      <c r="S41">
        <f>IF('08_MERGED_ANALYSIS'!C41="S2",'08_MERGED_ANALYSIS'!D41,"")</f>
        <v/>
      </c>
      <c r="T41">
        <f>IF('08_MERGED_ANALYSIS'!C41="S2",'08_MERGED_ANALYSIS'!E41,"")</f>
        <v/>
      </c>
      <c r="U41">
        <f>IF('08_MERGED_ANALYSIS'!C41="S2",'08_MERGED_ANALYSIS'!F41,"")</f>
        <v/>
      </c>
      <c r="V41">
        <f>IF(P41="","",P41+Q41+R41)</f>
        <v/>
      </c>
      <c r="W41">
        <f>IF(S41="","",S41+T41+U41)</f>
        <v/>
      </c>
      <c r="X41">
        <f>IF(AND('08_MERGED_ANALYSIS'!C41="S1",'08_MERGED_ANALYSIS'!J41&lt;&gt;"",'08_MERGED_ANALYSIS'!J41&gt;=0,'08_MERGED_ANALYSIS'!J41&lt;=3600),'08_MERGED_ANALYSIS'!J41,"")</f>
        <v/>
      </c>
      <c r="Y41">
        <f>IF(AND('08_MERGED_ANALYSIS'!C41="S2",'08_MERGED_ANALYSIS'!J41&lt;&gt;"",'08_MERGED_ANALYSIS'!J41&gt;=0,'08_MERGED_ANALYSIS'!J41&lt;=3600),'08_MERGED_ANALYSIS'!J41,"")</f>
        <v/>
      </c>
      <c r="Z41">
        <f>IF('08_MERGED_ANALYSIS'!C41="S1",'08_MERGED_ANALYSIS'!K41,"")</f>
        <v/>
      </c>
      <c r="AA41">
        <f>IF('08_MERGED_ANALYSIS'!C41="S2",'08_MERGED_ANALYSIS'!K41,"")</f>
        <v/>
      </c>
      <c r="AB41">
        <f>IF('08_MERGED_ANALYSIS'!H41=1,'08_MERGED_ANALYSIS'!G41,"")</f>
        <v/>
      </c>
      <c r="AC41">
        <f>IF('08_MERGED_ANALYSIS'!H41=0,'08_MERGED_ANALYSIS'!G41,"")</f>
        <v/>
      </c>
      <c r="AD41">
        <f>IF('08_MERGED_ANALYSIS'!L41&lt;&gt;"",'08_MERGED_ANALYSIS'!F41,"")</f>
        <v/>
      </c>
      <c r="AE41">
        <f>IF('08_MERGED_ANALYSIS'!L41&lt;&gt;"",IF('08_MERGED_ANALYSIS'!L41,1,0),"")</f>
        <v/>
      </c>
    </row>
    <row r="42">
      <c r="A42" t="inlineStr">
        <is>
          <t>ASQ mean vs task_success (point-biserial, live formula)</t>
        </is>
      </c>
      <c r="B42">
        <f>COUNT('08_MERGED_ANALYSIS'!$H$2:$H$44)</f>
        <v/>
      </c>
      <c r="C42">
        <f>CORREL('08_MERGED_ANALYSIS'!$G$2:$G$44,'08_MERGED_ANALYSIS'!$H$2:$H$44)</f>
        <v/>
      </c>
      <c r="D42">
        <f>T.DIST.2T(ABS(C42)*SQRT(B42-2)/SQRT(1-C42^2),B42-2)</f>
        <v/>
      </c>
      <c r="E42" t="inlineStr">
        <is>
          <t>point-biserial = Pearson on 0/1 (live formula)</t>
        </is>
      </c>
      <c r="N42">
        <f>IF('08_MERGED_ANALYSIS'!C42="S1",'08_MERGED_ANALYSIS'!G42,"")</f>
        <v/>
      </c>
      <c r="O42">
        <f>IF('08_MERGED_ANALYSIS'!C42="S2",'08_MERGED_ANALYSIS'!G42,"")</f>
        <v/>
      </c>
      <c r="P42">
        <f>IF('08_MERGED_ANALYSIS'!C42="S1",'08_MERGED_ANALYSIS'!D42,"")</f>
        <v/>
      </c>
      <c r="Q42">
        <f>IF('08_MERGED_ANALYSIS'!C42="S1",'08_MERGED_ANALYSIS'!E42,"")</f>
        <v/>
      </c>
      <c r="R42">
        <f>IF('08_MERGED_ANALYSIS'!C42="S1",'08_MERGED_ANALYSIS'!F42,"")</f>
        <v/>
      </c>
      <c r="S42">
        <f>IF('08_MERGED_ANALYSIS'!C42="S2",'08_MERGED_ANALYSIS'!D42,"")</f>
        <v/>
      </c>
      <c r="T42">
        <f>IF('08_MERGED_ANALYSIS'!C42="S2",'08_MERGED_ANALYSIS'!E42,"")</f>
        <v/>
      </c>
      <c r="U42">
        <f>IF('08_MERGED_ANALYSIS'!C42="S2",'08_MERGED_ANALYSIS'!F42,"")</f>
        <v/>
      </c>
      <c r="V42">
        <f>IF(P42="","",P42+Q42+R42)</f>
        <v/>
      </c>
      <c r="W42">
        <f>IF(S42="","",S42+T42+U42)</f>
        <v/>
      </c>
      <c r="X42">
        <f>IF(AND('08_MERGED_ANALYSIS'!C42="S1",'08_MERGED_ANALYSIS'!J42&lt;&gt;"",'08_MERGED_ANALYSIS'!J42&gt;=0,'08_MERGED_ANALYSIS'!J42&lt;=3600),'08_MERGED_ANALYSIS'!J42,"")</f>
        <v/>
      </c>
      <c r="Y42">
        <f>IF(AND('08_MERGED_ANALYSIS'!C42="S2",'08_MERGED_ANALYSIS'!J42&lt;&gt;"",'08_MERGED_ANALYSIS'!J42&gt;=0,'08_MERGED_ANALYSIS'!J42&lt;=3600),'08_MERGED_ANALYSIS'!J42,"")</f>
        <v/>
      </c>
      <c r="Z42">
        <f>IF('08_MERGED_ANALYSIS'!C42="S1",'08_MERGED_ANALYSIS'!K42,"")</f>
        <v/>
      </c>
      <c r="AA42">
        <f>IF('08_MERGED_ANALYSIS'!C42="S2",'08_MERGED_ANALYSIS'!K42,"")</f>
        <v/>
      </c>
      <c r="AB42">
        <f>IF('08_MERGED_ANALYSIS'!H42=1,'08_MERGED_ANALYSIS'!G42,"")</f>
        <v/>
      </c>
      <c r="AC42">
        <f>IF('08_MERGED_ANALYSIS'!H42=0,'08_MERGED_ANALYSIS'!G42,"")</f>
        <v/>
      </c>
      <c r="AD42">
        <f>IF('08_MERGED_ANALYSIS'!L42&lt;&gt;"",'08_MERGED_ANALYSIS'!F42,"")</f>
        <v/>
      </c>
      <c r="AE42">
        <f>IF('08_MERGED_ANALYSIS'!L42&lt;&gt;"",IF('08_MERGED_ANALYSIS'!L42,1,0),"")</f>
        <v/>
      </c>
    </row>
    <row r="43">
      <c r="A43" t="inlineStr">
        <is>
          <t>ASQ_3 vs has_correct_citation (point-biserial, live formula)</t>
        </is>
      </c>
      <c r="B43">
        <f>COUNT(AE2:AE44)</f>
        <v/>
      </c>
      <c r="C43">
        <f>CORREL(AD2:AD44,AE2:AE44)</f>
        <v/>
      </c>
      <c r="D43">
        <f>T.DIST.2T(ABS(C43)*SQRT(B43-2)/SQRT(1-C43^2),B43-2)</f>
        <v/>
      </c>
      <c r="E43" t="inlineStr">
        <is>
          <t>point-biserial = Pearson on 0/1, via helper cols (live formula)</t>
        </is>
      </c>
      <c r="N43">
        <f>IF('08_MERGED_ANALYSIS'!C43="S1",'08_MERGED_ANALYSIS'!G43,"")</f>
        <v/>
      </c>
      <c r="O43">
        <f>IF('08_MERGED_ANALYSIS'!C43="S2",'08_MERGED_ANALYSIS'!G43,"")</f>
        <v/>
      </c>
      <c r="P43">
        <f>IF('08_MERGED_ANALYSIS'!C43="S1",'08_MERGED_ANALYSIS'!D43,"")</f>
        <v/>
      </c>
      <c r="Q43">
        <f>IF('08_MERGED_ANALYSIS'!C43="S1",'08_MERGED_ANALYSIS'!E43,"")</f>
        <v/>
      </c>
      <c r="R43">
        <f>IF('08_MERGED_ANALYSIS'!C43="S1",'08_MERGED_ANALYSIS'!F43,"")</f>
        <v/>
      </c>
      <c r="S43">
        <f>IF('08_MERGED_ANALYSIS'!C43="S2",'08_MERGED_ANALYSIS'!D43,"")</f>
        <v/>
      </c>
      <c r="T43">
        <f>IF('08_MERGED_ANALYSIS'!C43="S2",'08_MERGED_ANALYSIS'!E43,"")</f>
        <v/>
      </c>
      <c r="U43">
        <f>IF('08_MERGED_ANALYSIS'!C43="S2",'08_MERGED_ANALYSIS'!F43,"")</f>
        <v/>
      </c>
      <c r="V43">
        <f>IF(P43="","",P43+Q43+R43)</f>
        <v/>
      </c>
      <c r="W43">
        <f>IF(S43="","",S43+T43+U43)</f>
        <v/>
      </c>
      <c r="X43">
        <f>IF(AND('08_MERGED_ANALYSIS'!C43="S1",'08_MERGED_ANALYSIS'!J43&lt;&gt;"",'08_MERGED_ANALYSIS'!J43&gt;=0,'08_MERGED_ANALYSIS'!J43&lt;=3600),'08_MERGED_ANALYSIS'!J43,"")</f>
        <v/>
      </c>
      <c r="Y43">
        <f>IF(AND('08_MERGED_ANALYSIS'!C43="S2",'08_MERGED_ANALYSIS'!J43&lt;&gt;"",'08_MERGED_ANALYSIS'!J43&gt;=0,'08_MERGED_ANALYSIS'!J43&lt;=3600),'08_MERGED_ANALYSIS'!J43,"")</f>
        <v/>
      </c>
      <c r="Z43">
        <f>IF('08_MERGED_ANALYSIS'!C43="S1",'08_MERGED_ANALYSIS'!K43,"")</f>
        <v/>
      </c>
      <c r="AA43">
        <f>IF('08_MERGED_ANALYSIS'!C43="S2",'08_MERGED_ANALYSIS'!K43,"")</f>
        <v/>
      </c>
      <c r="AB43">
        <f>IF('08_MERGED_ANALYSIS'!H43=1,'08_MERGED_ANALYSIS'!G43,"")</f>
        <v/>
      </c>
      <c r="AC43">
        <f>IF('08_MERGED_ANALYSIS'!H43=0,'08_MERGED_ANALYSIS'!G43,"")</f>
        <v/>
      </c>
      <c r="AD43">
        <f>IF('08_MERGED_ANALYSIS'!L43&lt;&gt;"",'08_MERGED_ANALYSIS'!F43,"")</f>
        <v/>
      </c>
      <c r="AE43">
        <f>IF('08_MERGED_ANALYSIS'!L43&lt;&gt;"",IF('08_MERGED_ANALYSIS'!L43,1,0),"")</f>
        <v/>
      </c>
    </row>
    <row r="44">
      <c r="A44" t="inlineStr">
        <is>
          <t>Spearman rho: ASQ mean vs latency_ms (Python-computed, see note)</t>
        </is>
      </c>
      <c r="B44" t="n">
        <v>42</v>
      </c>
      <c r="C44" t="n">
        <v>0.077608</v>
      </c>
      <c r="D44" t="n">
        <v>0.625185</v>
      </c>
      <c r="E44" t="inlineStr">
        <is>
          <t>Spearman (Python/scipy, computed once)</t>
        </is>
      </c>
      <c r="N44">
        <f>IF('08_MERGED_ANALYSIS'!C44="S1",'08_MERGED_ANALYSIS'!G44,"")</f>
        <v/>
      </c>
      <c r="O44">
        <f>IF('08_MERGED_ANALYSIS'!C44="S2",'08_MERGED_ANALYSIS'!G44,"")</f>
        <v/>
      </c>
      <c r="P44">
        <f>IF('08_MERGED_ANALYSIS'!C44="S1",'08_MERGED_ANALYSIS'!D44,"")</f>
        <v/>
      </c>
      <c r="Q44">
        <f>IF('08_MERGED_ANALYSIS'!C44="S1",'08_MERGED_ANALYSIS'!E44,"")</f>
        <v/>
      </c>
      <c r="R44">
        <f>IF('08_MERGED_ANALYSIS'!C44="S1",'08_MERGED_ANALYSIS'!F44,"")</f>
        <v/>
      </c>
      <c r="S44">
        <f>IF('08_MERGED_ANALYSIS'!C44="S2",'08_MERGED_ANALYSIS'!D44,"")</f>
        <v/>
      </c>
      <c r="T44">
        <f>IF('08_MERGED_ANALYSIS'!C44="S2",'08_MERGED_ANALYSIS'!E44,"")</f>
        <v/>
      </c>
      <c r="U44">
        <f>IF('08_MERGED_ANALYSIS'!C44="S2",'08_MERGED_ANALYSIS'!F44,"")</f>
        <v/>
      </c>
      <c r="V44">
        <f>IF(P44="","",P44+Q44+R44)</f>
        <v/>
      </c>
      <c r="W44">
        <f>IF(S44="","",S44+T44+U44)</f>
        <v/>
      </c>
      <c r="X44">
        <f>IF(AND('08_MERGED_ANALYSIS'!C44="S1",'08_MERGED_ANALYSIS'!J44&lt;&gt;"",'08_MERGED_ANALYSIS'!J44&gt;=0,'08_MERGED_ANALYSIS'!J44&lt;=3600),'08_MERGED_ANALYSIS'!J44,"")</f>
        <v/>
      </c>
      <c r="Y44">
        <f>IF(AND('08_MERGED_ANALYSIS'!C44="S2",'08_MERGED_ANALYSIS'!J44&lt;&gt;"",'08_MERGED_ANALYSIS'!J44&gt;=0,'08_MERGED_ANALYSIS'!J44&lt;=3600),'08_MERGED_ANALYSIS'!J44,"")</f>
        <v/>
      </c>
      <c r="Z44">
        <f>IF('08_MERGED_ANALYSIS'!C44="S1",'08_MERGED_ANALYSIS'!K44,"")</f>
        <v/>
      </c>
      <c r="AA44">
        <f>IF('08_MERGED_ANALYSIS'!C44="S2",'08_MERGED_ANALYSIS'!K44,"")</f>
        <v/>
      </c>
      <c r="AB44">
        <f>IF('08_MERGED_ANALYSIS'!H44=1,'08_MERGED_ANALYSIS'!G44,"")</f>
        <v/>
      </c>
      <c r="AC44">
        <f>IF('08_MERGED_ANALYSIS'!H44=0,'08_MERGED_ANALYSIS'!G44,"")</f>
        <v/>
      </c>
      <c r="AD44">
        <f>IF('08_MERGED_ANALYSIS'!L44&lt;&gt;"",'08_MERGED_ANALYSIS'!F44,"")</f>
        <v/>
      </c>
      <c r="AE44">
        <f>IF('08_MERGED_ANALYSIS'!L44&lt;&gt;"",IF('08_MERGED_ANALYSIS'!L44,1,0),"")</f>
        <v/>
      </c>
    </row>
    <row r="45"/>
    <row r="46">
      <c r="A46" s="3" t="inlineStr">
        <is>
          <t>Note: Spearman correlation is reported as a Python-computed value (scipy, same method as build_asq_scenario_excel_2026-08-02.py) rather than a live formula, because ASQ is an ordinal Likert measure and rank-based Spearman is more appropriate than Pearson for it; Pearson/point-biserial above are kept live since they match scipy exactly.</t>
        </is>
      </c>
    </row>
    <row r="47"/>
    <row r="48">
      <c r="A48" s="5" t="inlineStr">
        <is>
          <t>G. Wilcoxon Signed-Rank Test, ASQ mean S1 vs S2 (Python-computed, see note)</t>
        </is>
      </c>
    </row>
    <row r="49"/>
    <row r="50">
      <c r="A50" s="4" t="inlineStr">
        <is>
          <t>paired_n</t>
        </is>
      </c>
      <c r="B50" s="4" t="inlineStr">
        <is>
          <t>median_s1</t>
        </is>
      </c>
      <c r="C50" s="4" t="inlineStr">
        <is>
          <t>median_s2</t>
        </is>
      </c>
      <c r="D50" s="4" t="inlineStr">
        <is>
          <t>W statistic</t>
        </is>
      </c>
      <c r="E50" s="4" t="inlineStr">
        <is>
          <t>p-value</t>
        </is>
      </c>
    </row>
    <row r="51">
      <c r="A51" t="n">
        <v>21</v>
      </c>
      <c r="B51" t="n">
        <v>6.333333</v>
      </c>
      <c r="C51" t="n">
        <v>6.333333</v>
      </c>
      <c r="D51" t="n">
        <v>18</v>
      </c>
      <c r="E51" t="n">
        <v>1</v>
      </c>
    </row>
    <row r="52"/>
    <row r="53">
      <c r="A53" s="3" t="inlineStr">
        <is>
          <t>Note: computed once in Python (scipy.stats.wilcoxon, exact method) because Excel has no native exact Wilcoxon signed-rank function; a hand-built normal-approximation formula would risk disagreeing with the standard method for reasons unrelated to the data (this dataset has 13/21 tied S1=S2 pairs, exactly where hand-rolled and exact implementations diverge most). See build_research_dataset_excel_2026-08-10.py::compute_wilcoxon.</t>
        </is>
      </c>
    </row>
    <row r="54"/>
    <row r="55">
      <c r="A55" s="5" t="inlineStr">
        <is>
          <t>H. Perception-Performance Gap (continuous framing; no threshold imposed)</t>
        </is>
      </c>
    </row>
    <row r="56"/>
    <row r="57">
      <c r="A57" s="3" t="inlineStr">
        <is>
          <t>Primary comparison: see section E above (mean ASQ by task_success group). No high/low ASQ threshold is imposed here because none is specified or validated in the source methodology -- inventing one would be an integrity risk in this dataset. If a categorical exploratory view is wanted later, add it as a clearly labeled secondary table with the threshold stated explicitly next to it.</t>
        </is>
      </c>
    </row>
    <row r="58"/>
    <row r="59">
      <c r="A59" s="5" t="inlineStr">
        <is>
          <t>I. Reconciliation vs. Values Reported as Already Published</t>
        </is>
      </c>
    </row>
    <row r="60"/>
    <row r="61">
      <c r="A61" s="4" t="inlineStr">
        <is>
          <t>statistic</t>
        </is>
      </c>
      <c r="B61" s="4" t="inlineStr">
        <is>
          <t>reported_value</t>
        </is>
      </c>
      <c r="C61" s="4" t="inlineStr">
        <is>
          <t>recomputed_value</t>
        </is>
      </c>
      <c r="D61" s="4" t="inlineStr">
        <is>
          <t>difference</t>
        </is>
      </c>
      <c r="E61" s="4" t="inlineStr">
        <is>
          <t>status</t>
        </is>
      </c>
      <c r="F61" s="4" t="inlineStr">
        <is>
          <t>source_of_reported_value</t>
        </is>
      </c>
    </row>
    <row r="62">
      <c r="A62" t="inlineStr">
        <is>
          <t>ASQ overall mean</t>
        </is>
      </c>
      <c r="B62" t="n">
        <v>5.76</v>
      </c>
      <c r="C62">
        <f>ROUND(B5,2)</f>
        <v/>
      </c>
      <c r="D62">
        <f>C62-B62</f>
        <v/>
      </c>
      <c r="E62">
        <f>IF(ABS(D62)&lt;0.01,"MATCH",IF(ABS(D62)&lt;0.1,"ROUNDING_DIFFERENCE","MISMATCH"))</f>
        <v/>
      </c>
      <c r="F62" t="inlineStr">
        <is>
          <t>reported by user as already-published in the paper</t>
        </is>
      </c>
    </row>
    <row r="63">
      <c r="A63" t="inlineStr">
        <is>
          <t>n observations</t>
        </is>
      </c>
      <c r="B63" t="n">
        <v>43</v>
      </c>
      <c r="C63">
        <f>B4</f>
        <v/>
      </c>
      <c r="D63">
        <f>C63-B63</f>
        <v/>
      </c>
      <c r="E63">
        <f>IF(D63=0,"MATCH","MISMATCH")</f>
        <v/>
      </c>
      <c r="F63" t="inlineStr">
        <is>
          <t>reported by user as already-published in the paper</t>
        </is>
      </c>
    </row>
    <row r="64">
      <c r="A64" t="inlineStr">
        <is>
          <t>n participants</t>
        </is>
      </c>
      <c r="B64" t="n">
        <v>22</v>
      </c>
      <c r="C64">
        <f>COUNTA('02_PARTICIPANTS'!A2:A100)</f>
        <v/>
      </c>
      <c r="D64">
        <f>C64-B64</f>
        <v/>
      </c>
      <c r="E64">
        <f>IF(D64=0,"MATCH","MISMATCH")</f>
        <v/>
      </c>
      <c r="F64" t="inlineStr">
        <is>
          <t>reported by user as already-published in the paper</t>
        </is>
      </c>
    </row>
    <row r="65">
      <c r="A65" t="inlineStr">
        <is>
          <t>Cronbach's alpha S1</t>
        </is>
      </c>
      <c r="B65" t="inlineStr">
        <is>
          <t>SOURCE_NOT_FOUND</t>
        </is>
      </c>
      <c r="C65" t="inlineStr">
        <is>
          <t>see corresponding section above</t>
        </is>
      </c>
      <c r="D65" t="inlineStr"/>
      <c r="E65" t="inlineStr">
        <is>
          <t>SOURCE_NOT_FOUND</t>
        </is>
      </c>
      <c r="F65" t="inlineStr">
        <is>
          <t>no independently-stated paper value was supplied for this statistic; not back-filled with a fabricated target</t>
        </is>
      </c>
    </row>
    <row r="66">
      <c r="A66" t="inlineStr">
        <is>
          <t>Cronbach's alpha S2</t>
        </is>
      </c>
      <c r="B66" t="inlineStr">
        <is>
          <t>SOURCE_NOT_FOUND</t>
        </is>
      </c>
      <c r="C66" t="inlineStr">
        <is>
          <t>see corresponding section above</t>
        </is>
      </c>
      <c r="D66" t="inlineStr"/>
      <c r="E66" t="inlineStr">
        <is>
          <t>SOURCE_NOT_FOUND</t>
        </is>
      </c>
      <c r="F66" t="inlineStr">
        <is>
          <t>no independently-stated paper value was supplied for this statistic; not back-filled with a fabricated target</t>
        </is>
      </c>
    </row>
    <row r="67">
      <c r="A67" t="inlineStr">
        <is>
          <t>Task success rate S1</t>
        </is>
      </c>
      <c r="B67" t="inlineStr">
        <is>
          <t>SOURCE_NOT_FOUND</t>
        </is>
      </c>
      <c r="C67" t="inlineStr">
        <is>
          <t>see corresponding section above</t>
        </is>
      </c>
      <c r="D67" t="inlineStr"/>
      <c r="E67" t="inlineStr">
        <is>
          <t>SOURCE_NOT_FOUND</t>
        </is>
      </c>
      <c r="F67" t="inlineStr">
        <is>
          <t>no independently-stated paper value was supplied for this statistic; not back-filled with a fabricated target</t>
        </is>
      </c>
    </row>
    <row r="68">
      <c r="A68" t="inlineStr">
        <is>
          <t>Task success rate S2</t>
        </is>
      </c>
      <c r="B68" t="inlineStr">
        <is>
          <t>SOURCE_NOT_FOUND</t>
        </is>
      </c>
      <c r="C68" t="inlineStr">
        <is>
          <t>see corresponding section above</t>
        </is>
      </c>
      <c r="D68" t="inlineStr"/>
      <c r="E68" t="inlineStr">
        <is>
          <t>SOURCE_NOT_FOUND</t>
        </is>
      </c>
      <c r="F68" t="inlineStr">
        <is>
          <t>no independently-stated paper value was supplied for this statistic; not back-filled with a fabricated target</t>
        </is>
      </c>
    </row>
    <row r="69">
      <c r="A69" t="inlineStr">
        <is>
          <t>Completion time median S1 (sec)</t>
        </is>
      </c>
      <c r="B69" t="inlineStr">
        <is>
          <t>SOURCE_NOT_FOUND</t>
        </is>
      </c>
      <c r="C69" t="inlineStr">
        <is>
          <t>see corresponding section above</t>
        </is>
      </c>
      <c r="D69" t="inlineStr"/>
      <c r="E69" t="inlineStr">
        <is>
          <t>SOURCE_NOT_FOUND</t>
        </is>
      </c>
      <c r="F69" t="inlineStr">
        <is>
          <t>no independently-stated paper value was supplied for this statistic; not back-filled with a fabricated target</t>
        </is>
      </c>
    </row>
    <row r="70">
      <c r="A70" t="inlineStr">
        <is>
          <t>Completion time median S2 (sec)</t>
        </is>
      </c>
      <c r="B70" t="inlineStr">
        <is>
          <t>SOURCE_NOT_FOUND</t>
        </is>
      </c>
      <c r="C70" t="inlineStr">
        <is>
          <t>see corresponding section above</t>
        </is>
      </c>
      <c r="D70" t="inlineStr"/>
      <c r="E70" t="inlineStr">
        <is>
          <t>SOURCE_NOT_FOUND</t>
        </is>
      </c>
      <c r="F70" t="inlineStr">
        <is>
          <t>no independently-stated paper value was supplied for this statistic; not back-filled with a fabricated target</t>
        </is>
      </c>
    </row>
    <row r="71">
      <c r="A71" t="inlineStr">
        <is>
          <t>Latency mean S1 (ms)</t>
        </is>
      </c>
      <c r="B71" t="inlineStr">
        <is>
          <t>SOURCE_NOT_FOUND</t>
        </is>
      </c>
      <c r="C71" t="inlineStr">
        <is>
          <t>see corresponding section above</t>
        </is>
      </c>
      <c r="D71" t="inlineStr"/>
      <c r="E71" t="inlineStr">
        <is>
          <t>SOURCE_NOT_FOUND</t>
        </is>
      </c>
      <c r="F71" t="inlineStr">
        <is>
          <t>no independently-stated paper value was supplied for this statistic; not back-filled with a fabricated target</t>
        </is>
      </c>
    </row>
    <row r="72">
      <c r="A72" t="inlineStr">
        <is>
          <t>Latency mean S2 (ms)</t>
        </is>
      </c>
      <c r="B72" t="inlineStr">
        <is>
          <t>SOURCE_NOT_FOUND</t>
        </is>
      </c>
      <c r="C72" t="inlineStr">
        <is>
          <t>see corresponding section above</t>
        </is>
      </c>
      <c r="D72" t="inlineStr"/>
      <c r="E72" t="inlineStr">
        <is>
          <t>SOURCE_NOT_FOUND</t>
        </is>
      </c>
      <c r="F72" t="inlineStr">
        <is>
          <t>no independently-stated paper value was supplied for this statistic; not back-filled with a fabricated target</t>
        </is>
      </c>
    </row>
    <row r="73">
      <c r="A73" t="inlineStr">
        <is>
          <t>Spearman rho ASQ vs latency</t>
        </is>
      </c>
      <c r="B73" t="inlineStr">
        <is>
          <t>SOURCE_NOT_FOUND</t>
        </is>
      </c>
      <c r="C73" t="inlineStr">
        <is>
          <t>see corresponding section above</t>
        </is>
      </c>
      <c r="D73" t="inlineStr"/>
      <c r="E73" t="inlineStr">
        <is>
          <t>SOURCE_NOT_FOUND</t>
        </is>
      </c>
      <c r="F73" t="inlineStr">
        <is>
          <t>no independently-stated paper value was supplied for this statistic; not back-filled with a fabricated target</t>
        </is>
      </c>
    </row>
    <row r="74">
      <c r="A74" t="inlineStr">
        <is>
          <t>Wilcoxon p (ASQ S1 vs S2)</t>
        </is>
      </c>
      <c r="B74" t="inlineStr">
        <is>
          <t>SOURCE_NOT_FOUND</t>
        </is>
      </c>
      <c r="C74" t="inlineStr">
        <is>
          <t>see corresponding section above</t>
        </is>
      </c>
      <c r="D74" t="inlineStr"/>
      <c r="E74" t="inlineStr">
        <is>
          <t>SOURCE_NOT_FOUND</t>
        </is>
      </c>
      <c r="F74" t="inlineStr">
        <is>
          <t>no independently-stated paper value was supplied for this statistic; not back-filled with a fabricated target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46" customWidth="1" min="2" max="2"/>
    <col width="90" customWidth="1" min="3" max="3"/>
    <col width="90" customWidth="1" min="4" max="4"/>
  </cols>
  <sheetData>
    <row r="1">
      <c r="A1" s="7" t="inlineStr">
        <is>
          <t>check_name</t>
        </is>
      </c>
      <c r="B1" s="4" t="inlineStr">
        <is>
          <t>status</t>
        </is>
      </c>
      <c r="C1" s="4" t="inlineStr">
        <is>
          <t>affected_rows</t>
        </is>
      </c>
      <c r="D1" s="4" t="inlineStr">
        <is>
          <t>description</t>
        </is>
      </c>
    </row>
    <row r="2">
      <c r="A2" t="inlineStr">
        <is>
          <t>duplicate observation_id</t>
        </is>
      </c>
      <c r="B2">
        <f>IF(C2=0,"PASS",IF(C2&gt;0,"FAIL","PASS"))</f>
        <v/>
      </c>
      <c r="C2">
        <f>SUMPRODUCT((COUNTIF('03_OBSERVATIONS'!$A$2:$A$44,'03_OBSERVATIONS'!$A$2:$A$44)&gt;1)*1)</f>
        <v/>
      </c>
      <c r="D2" t="inlineStr">
        <is>
          <t>Count of observation_id values that appear more than once (expect 0).</t>
        </is>
      </c>
    </row>
    <row r="3">
      <c r="A3" t="inlineStr">
        <is>
          <t>duplicate participant-scenario pair</t>
        </is>
      </c>
      <c r="B3">
        <f>IF(C3=0,"PASS",IF(C3&gt;0,"FAIL","PASS"))</f>
        <v/>
      </c>
      <c r="C3">
        <f>SUMPRODUCT((COUNTIFS('03_OBSERVATIONS'!$B$2:$B$44,'03_OBSERVATIONS'!$B$2:$B$44,'03_OBSERVATIONS'!$C$2:$C$44,'03_OBSERVATIONS'!$C$2:$C$44)&gt;1)*1)</f>
        <v/>
      </c>
      <c r="D3" t="inlineStr">
        <is>
          <t>Count of (participant_id, scenario_id) combinations that appear more than once (expect 0).</t>
        </is>
      </c>
    </row>
    <row r="4">
      <c r="A4" t="inlineStr">
        <is>
          <t>participant without any observation</t>
        </is>
      </c>
      <c r="B4">
        <f>IF(C4=0,"PASS",IF(C4&gt;0,"FAIL","PASS"))</f>
        <v/>
      </c>
      <c r="C4">
        <f>SUMPRODUCT((COUNTIF('03_OBSERVATIONS'!$B$2:$B$44,'02_PARTICIPANTS'!$A$2:$A$23)=0)*1)</f>
        <v/>
      </c>
      <c r="D4" t="inlineStr">
        <is>
          <t>Participants in 02_PARTICIPANTS with zero rows in 03_OBSERVATIONS (expect 0).</t>
        </is>
      </c>
    </row>
    <row r="5">
      <c r="A5" t="inlineStr">
        <is>
          <t>ASQ item out of 1-7 range</t>
        </is>
      </c>
      <c r="B5">
        <f>IF(C5=0,"PASS",IF(C5&gt;0,"FAIL","PASS"))</f>
        <v/>
      </c>
      <c r="C5">
        <f>SUMPRODUCT(((('04_ASQ_RESPONSES'!$D$2:$D$44&lt;1)+('04_ASQ_RESPONSES'!$D$2:$D$44&gt;7))&gt;0)*1)+SUMPRODUCT(((('04_ASQ_RESPONSES'!$F$2:$F$44&lt;1)+('04_ASQ_RESPONSES'!$F$2:$F$44&gt;7))&gt;0)*1)</f>
        <v/>
      </c>
      <c r="D5" t="inlineStr">
        <is>
          <t>Any ASQ item value outside the valid 1-7 Likert range (expect 0).</t>
        </is>
      </c>
    </row>
    <row r="6">
      <c r="A6" t="inlineStr">
        <is>
          <t>negative latency_ms</t>
        </is>
      </c>
      <c r="B6">
        <f>IF(C6=0,"PASS",IF(C6&gt;0,"FAIL","PASS"))</f>
        <v/>
      </c>
      <c r="C6">
        <f>SUMPRODUCT((('06_SYSTEM_METRICS'!$D$2:$D$44&lt;&gt;"")*('06_SYSTEM_METRICS'!$D$2:$D$44&lt;0))*1)</f>
        <v/>
      </c>
      <c r="D6" t="inlineStr">
        <is>
          <t>latency_ms values below zero (expect 0).</t>
        </is>
      </c>
    </row>
    <row r="7">
      <c r="A7" t="inlineStr">
        <is>
          <t>negative completion_time_sec</t>
        </is>
      </c>
      <c r="B7">
        <f>IF(C7=0,"PASS",IF(C7&gt;0,"WARNING","PASS"))</f>
        <v/>
      </c>
      <c r="C7">
        <f>SUMPRODUCT((('05_TASK_PERFORMANCE'!$F$2:$F$44&lt;&gt;"")*('05_TASK_PERFORMANCE'!$F$2:$F$44&lt;0))*1)</f>
        <v/>
      </c>
      <c r="D7" t="inlineStr">
        <is>
          <t>completion_time_sec values below zero -- a genuine data quirk (1 row expected: participant with a negative proxy duration, source-flagged completion_time_valid=False).</t>
        </is>
      </c>
    </row>
    <row r="8">
      <c r="A8" t="inlineStr">
        <is>
          <t>&gt;1h outlier completion_time_sec</t>
        </is>
      </c>
      <c r="B8">
        <f>IF(C8=0,"PASS",IF(C8&gt;0,"WARNING","PASS"))</f>
        <v/>
      </c>
      <c r="C8">
        <f>SUMPRODUCT((('05_TASK_PERFORMANCE'!$F$2:$F$44&lt;&gt;"")*('05_TASK_PERFORMANCE'!$F$2:$F$44&gt;3600))*1)</f>
        <v/>
      </c>
      <c r="D8" t="inlineStr">
        <is>
          <t>completion_time_sec values over 1 hour -- genuine outliers (2 rows expected, source-flagged completion_time_outlier=True).</t>
        </is>
      </c>
    </row>
    <row r="9">
      <c r="A9" t="inlineStr">
        <is>
          <t>invalid scenario_id</t>
        </is>
      </c>
      <c r="B9">
        <f>IF(C9=0,"PASS",IF(C9&gt;0,"FAIL","PASS"))</f>
        <v/>
      </c>
      <c r="C9">
        <f>SUMPRODUCT((('03_OBSERVATIONS'!$C$2:$C$44&lt;&gt;"S1")*('03_OBSERVATIONS'!$C$2:$C$44&lt;&gt;"S2"))*1)</f>
        <v/>
      </c>
      <c r="D9" t="inlineStr">
        <is>
          <t>scenario_id values outside {S1, S2} (expect 0).</t>
        </is>
      </c>
    </row>
    <row r="10">
      <c r="A10" t="inlineStr">
        <is>
          <t>missing ASQ (incomplete item set)</t>
        </is>
      </c>
      <c r="B10">
        <f>IF(C10=0,"PASS",IF(C10&gt;0,"FAIL","PASS"))</f>
        <v/>
      </c>
      <c r="C10">
        <f>COUNTIF('04_ASQ_RESPONSES'!$G$2:$G$44,"")</f>
        <v/>
      </c>
      <c r="D10" t="inlineStr">
        <is>
          <t>Rows where asq_mean is blank, i.e. at least one of the 3 ASQ items is missing (expect 0; all 43 rows have full ASQ item sets).</t>
        </is>
      </c>
    </row>
    <row r="11">
      <c r="A11" t="inlineStr">
        <is>
          <t>missing task_success</t>
        </is>
      </c>
      <c r="B11">
        <f>IF(C11=0,"PASS",IF(C11&gt;0,"WARNING","PASS"))</f>
        <v/>
      </c>
      <c r="C11">
        <f>COUNTIF('05_TASK_PERFORMANCE'!$D$2:$D$44,"")</f>
        <v/>
      </c>
      <c r="D11" t="inlineStr">
        <is>
          <t>Rows with blank task_success -- expected 1 (row with no linked production trace_id).</t>
        </is>
      </c>
    </row>
    <row r="12">
      <c r="A12" t="inlineStr">
        <is>
          <t>missing latency</t>
        </is>
      </c>
      <c r="B12">
        <f>IF(C12=0,"PASS",IF(C12&gt;0,"WARNING","PASS"))</f>
        <v/>
      </c>
      <c r="C12">
        <f>COUNTIF('06_SYSTEM_METRICS'!$D$2:$D$44,"")</f>
        <v/>
      </c>
      <c r="D12" t="inlineStr">
        <is>
          <t>Rows with blank latency_ms -- expected 1 (same no-linked-turn row).</t>
        </is>
      </c>
    </row>
    <row r="13">
      <c r="A13" t="inlineStr">
        <is>
          <t>incomplete scenario pair (participant missing S1 or S2)</t>
        </is>
      </c>
      <c r="B13">
        <f>IF(C13=0,"PASS",IF(C13&gt;0,"WARNING","PASS"))</f>
        <v/>
      </c>
      <c r="C13">
        <f>SUMPRODUCT((COUNTIF('03_OBSERVATIONS'!$B$2:$B$44,'02_PARTICIPANTS'!$A$2:$A$23)&lt;2)*1)</f>
        <v/>
      </c>
      <c r="D13" t="inlineStr">
        <is>
          <t>Participants with fewer than 2 observation rows -- expected 1 (participant missing S2).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2026-08-10T13:22:47Z</dcterms:created>
  <dcterms:modified xmlns:dcterms="http://purl.org/dc/terms/" xmlns:xsi="http://www.w3.org/2001/XMLSchema-instance" xsi:type="dcterms:W3CDTF">2026-08-10T13:22:47Z</dcterms:modified>
</cp:coreProperties>
</file>